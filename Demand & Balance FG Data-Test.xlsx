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G Production\Desktop\Nuntikran\"/>
    </mc:Choice>
  </mc:AlternateContent>
  <xr:revisionPtr revIDLastSave="0" documentId="13_ncr:1_{B4116608-BC91-46EC-A269-50A22A90684D}" xr6:coauthVersionLast="47" xr6:coauthVersionMax="47" xr10:uidLastSave="{00000000-0000-0000-0000-000000000000}"/>
  <bookViews>
    <workbookView xWindow="20370" yWindow="-120" windowWidth="29040" windowHeight="15720" xr2:uid="{8AF2D5DD-F921-4D90-84BE-775C9EE8E181}"/>
  </bookViews>
  <sheets>
    <sheet name="Data_FG" sheetId="1" r:id="rId1"/>
  </sheets>
  <externalReferences>
    <externalReference r:id="rId2"/>
    <externalReference r:id="rId3"/>
  </externalReferences>
  <definedNames>
    <definedName name="a">#REF!</definedName>
    <definedName name="CAPA">#REF!</definedName>
    <definedName name="Hollidays">'[2]Cap&amp;manpower'!#REF!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1" l="1"/>
  <c r="I100" i="1"/>
  <c r="H100" i="1"/>
  <c r="L100" i="1" s="1"/>
  <c r="G100" i="1"/>
  <c r="K99" i="1"/>
  <c r="I99" i="1"/>
  <c r="H99" i="1"/>
  <c r="L99" i="1" s="1"/>
  <c r="G99" i="1"/>
  <c r="K98" i="1"/>
  <c r="I98" i="1"/>
  <c r="H98" i="1"/>
  <c r="L98" i="1" s="1"/>
  <c r="G98" i="1"/>
  <c r="K97" i="1"/>
  <c r="I97" i="1"/>
  <c r="H97" i="1"/>
  <c r="L97" i="1" s="1"/>
  <c r="G97" i="1"/>
  <c r="K96" i="1"/>
  <c r="I96" i="1"/>
  <c r="H96" i="1"/>
  <c r="L96" i="1" s="1"/>
  <c r="G96" i="1"/>
  <c r="K95" i="1"/>
  <c r="I95" i="1"/>
  <c r="H95" i="1"/>
  <c r="L95" i="1" s="1"/>
  <c r="G95" i="1"/>
  <c r="K94" i="1"/>
  <c r="I94" i="1"/>
  <c r="H94" i="1"/>
  <c r="L94" i="1" s="1"/>
  <c r="G94" i="1"/>
  <c r="K93" i="1"/>
  <c r="I93" i="1"/>
  <c r="H93" i="1"/>
  <c r="L93" i="1" s="1"/>
  <c r="G93" i="1"/>
  <c r="K92" i="1"/>
  <c r="I92" i="1"/>
  <c r="H92" i="1"/>
  <c r="L92" i="1" s="1"/>
  <c r="G92" i="1"/>
  <c r="K91" i="1"/>
  <c r="I91" i="1"/>
  <c r="H91" i="1"/>
  <c r="L91" i="1" s="1"/>
  <c r="G91" i="1"/>
  <c r="K90" i="1"/>
  <c r="I90" i="1"/>
  <c r="H90" i="1"/>
  <c r="L90" i="1" s="1"/>
  <c r="G90" i="1"/>
  <c r="K89" i="1"/>
  <c r="I89" i="1"/>
  <c r="H89" i="1"/>
  <c r="L89" i="1" s="1"/>
  <c r="G89" i="1"/>
  <c r="K88" i="1"/>
  <c r="I88" i="1"/>
  <c r="H88" i="1"/>
  <c r="L88" i="1" s="1"/>
  <c r="G88" i="1"/>
  <c r="K87" i="1"/>
  <c r="I87" i="1"/>
  <c r="H87" i="1"/>
  <c r="L87" i="1" s="1"/>
  <c r="G87" i="1"/>
  <c r="K86" i="1"/>
  <c r="I86" i="1"/>
  <c r="H86" i="1"/>
  <c r="L86" i="1" s="1"/>
  <c r="G86" i="1"/>
  <c r="K85" i="1"/>
  <c r="I85" i="1"/>
  <c r="H85" i="1"/>
  <c r="L85" i="1" s="1"/>
  <c r="G85" i="1"/>
  <c r="K84" i="1"/>
  <c r="I84" i="1"/>
  <c r="H84" i="1"/>
  <c r="L84" i="1" s="1"/>
  <c r="G84" i="1"/>
  <c r="K83" i="1"/>
  <c r="I83" i="1"/>
  <c r="H83" i="1"/>
  <c r="L83" i="1" s="1"/>
  <c r="G83" i="1"/>
  <c r="K82" i="1"/>
  <c r="I82" i="1"/>
  <c r="H82" i="1"/>
  <c r="L82" i="1" s="1"/>
  <c r="G82" i="1"/>
  <c r="K81" i="1"/>
  <c r="I81" i="1"/>
  <c r="H81" i="1"/>
  <c r="L81" i="1" s="1"/>
  <c r="G81" i="1"/>
  <c r="K80" i="1"/>
  <c r="I80" i="1"/>
  <c r="H80" i="1"/>
  <c r="L80" i="1" s="1"/>
  <c r="G80" i="1"/>
  <c r="K79" i="1"/>
  <c r="I79" i="1"/>
  <c r="H79" i="1"/>
  <c r="L79" i="1" s="1"/>
  <c r="G79" i="1"/>
  <c r="K78" i="1"/>
  <c r="I78" i="1"/>
  <c r="H78" i="1"/>
  <c r="L78" i="1" s="1"/>
  <c r="G78" i="1"/>
  <c r="K77" i="1"/>
  <c r="I77" i="1"/>
  <c r="H77" i="1"/>
  <c r="L77" i="1" s="1"/>
  <c r="G77" i="1"/>
  <c r="K76" i="1"/>
  <c r="I76" i="1"/>
  <c r="H76" i="1"/>
  <c r="L76" i="1" s="1"/>
  <c r="G76" i="1"/>
  <c r="K75" i="1"/>
  <c r="I75" i="1"/>
  <c r="H75" i="1"/>
  <c r="L75" i="1" s="1"/>
  <c r="G75" i="1"/>
  <c r="K74" i="1"/>
  <c r="I74" i="1"/>
  <c r="H74" i="1"/>
  <c r="L74" i="1" s="1"/>
  <c r="G74" i="1"/>
  <c r="K73" i="1"/>
  <c r="I73" i="1"/>
  <c r="H73" i="1"/>
  <c r="L73" i="1" s="1"/>
  <c r="G73" i="1"/>
  <c r="K72" i="1"/>
  <c r="I72" i="1"/>
  <c r="H72" i="1"/>
  <c r="L72" i="1" s="1"/>
  <c r="G72" i="1"/>
  <c r="K71" i="1"/>
  <c r="I71" i="1"/>
  <c r="H71" i="1"/>
  <c r="L71" i="1" s="1"/>
  <c r="G71" i="1"/>
  <c r="K70" i="1"/>
  <c r="I70" i="1"/>
  <c r="H70" i="1"/>
  <c r="L70" i="1" s="1"/>
  <c r="G70" i="1"/>
  <c r="K69" i="1"/>
  <c r="I69" i="1"/>
  <c r="H69" i="1"/>
  <c r="L69" i="1" s="1"/>
  <c r="G69" i="1"/>
  <c r="K68" i="1"/>
  <c r="I68" i="1"/>
  <c r="H68" i="1"/>
  <c r="L68" i="1" s="1"/>
  <c r="G68" i="1"/>
  <c r="K67" i="1"/>
  <c r="I67" i="1"/>
  <c r="H67" i="1"/>
  <c r="L67" i="1" s="1"/>
  <c r="G67" i="1"/>
  <c r="J67" i="1" l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</calcChain>
</file>

<file path=xl/sharedStrings.xml><?xml version="1.0" encoding="utf-8"?>
<sst xmlns="http://schemas.openxmlformats.org/spreadsheetml/2006/main" count="309" uniqueCount="37">
  <si>
    <t>Month</t>
  </si>
  <si>
    <t>Product</t>
  </si>
  <si>
    <t>Customer</t>
  </si>
  <si>
    <t>Forecast/MTS</t>
  </si>
  <si>
    <t>Ordered</t>
  </si>
  <si>
    <t>Finished</t>
  </si>
  <si>
    <t>Forecast Accuracy</t>
  </si>
  <si>
    <t>%Fill Rate</t>
  </si>
  <si>
    <t>Backlog</t>
  </si>
  <si>
    <t>Cumulative Backlog</t>
  </si>
  <si>
    <t>Forecast Bias</t>
  </si>
  <si>
    <t>FINAL PLANNER STATUS</t>
  </si>
  <si>
    <t>Jan</t>
  </si>
  <si>
    <t>0507_1050_A01</t>
  </si>
  <si>
    <t>TAG Huer</t>
  </si>
  <si>
    <t>CHECK FORECAST</t>
  </si>
  <si>
    <t>0507_1050_B02</t>
  </si>
  <si>
    <t>0745_1050_A01</t>
  </si>
  <si>
    <t>Raymond Wile</t>
  </si>
  <si>
    <t>0745_1050_A03</t>
  </si>
  <si>
    <t>0587_1100_A01</t>
  </si>
  <si>
    <t>0507_1060_A01</t>
  </si>
  <si>
    <t>0587_1060_A01</t>
  </si>
  <si>
    <t>Feb</t>
  </si>
  <si>
    <t/>
  </si>
  <si>
    <t>CRITICAL</t>
  </si>
  <si>
    <t>0587_1100_B02</t>
  </si>
  <si>
    <t>0643_1100_A01</t>
  </si>
  <si>
    <t>OK</t>
  </si>
  <si>
    <t>Mar</t>
  </si>
  <si>
    <t>0745_1050_A02</t>
  </si>
  <si>
    <t>Apr</t>
  </si>
  <si>
    <t>May</t>
  </si>
  <si>
    <t>Jun</t>
  </si>
  <si>
    <t>July</t>
  </si>
  <si>
    <t>Aug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</si>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</sst>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Calibri Light"/>
      <family val="2"/>
    </font>
    <font>
      <b/>
      <sz val="10"/>
      <color rgb="FFFFFFFF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G%20Production\PRG%20team%20Dropbox\PRG%20Dropbox\02%20-%20Production\10-%20Production%20Planning\05.%20MPS%20and%20MRP%20(CROWN)\2026%20Demand%20&amp;%20Balance%20Supply(Crown).xlsx" TargetMode="External"/><Relationship Id="rId1" Type="http://schemas.openxmlformats.org/officeDocument/2006/relationships/externalLinkPath" Target="/Users/PRG%20Production/PRG%20team%20Dropbox/PRG%20Dropbox/02%20-%20Production/10-%20Production%20Planning/05.%20MPS%20and%20MRP%20(CROWN)/2026%20Demand%20&amp;%20Balance%20Supply(Crow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anning/PRG%20team%20Dropbox/PRG%20Dropbox/02%20-%20Production/10-%20Production%20Planning/2022/Tracking%20Production%20Output/Scan%20Polishing2-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KU"/>
      <sheetName val="Raw data"/>
      <sheetName val="Demand&amp;Supply"/>
      <sheetName val="Balance demand"/>
      <sheetName val="Data_FG"/>
      <sheetName val="Dashboard_FG"/>
      <sheetName val="Data_SFG"/>
      <sheetName val="Dashboard_S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an การผลิต"/>
      <sheetName val="MONITORING"/>
      <sheetName val="Datainput"/>
      <sheetName val="สรุป Outut PL2"/>
      <sheetName val="Planning-Week"/>
      <sheetName val="Definition"/>
      <sheetName val="Sheet1"/>
      <sheetName val="Data"/>
      <sheetName val="Criteria Reject"/>
      <sheetName val="Chart1"/>
      <sheetName val="Cap&amp;manpower"/>
      <sheetName val="Match"/>
      <sheetName val="Index"/>
      <sheetName val="Sheet5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7520-40B1-4077-9FD7-20924B4773D7}">
  <sheetPr>
    <tabColor rgb="FF7030A0"/>
  </sheetPr>
  <dimension ref="A1:L100"/>
  <sheetViews>
    <sheetView tabSelected="1" zoomScale="70" zoomScaleNormal="70" workbookViewId="0">
      <pane ySplit="1" topLeftCell="A35" activePane="bottomLeft" state="frozen"/>
      <selection pane="bottomLeft" activeCell="P52" sqref="P52"/>
    </sheetView>
  </sheetViews>
  <sheetFormatPr defaultRowHeight="12.75" x14ac:dyDescent="0.2"/>
  <cols>
    <col min="1" max="11" width="18" style="1" customWidth="1"/>
    <col min="12" max="12" width="22.7109375" style="1" bestFit="1" customWidth="1"/>
    <col min="13" max="16384" width="9.1406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3" t="s">
        <v>12</v>
      </c>
      <c r="B2" s="1" t="s">
        <v>13</v>
      </c>
      <c r="C2" s="1" t="s">
        <v>14</v>
      </c>
      <c r="D2" s="1">
        <v>0</v>
      </c>
      <c r="E2" s="1">
        <v>1690</v>
      </c>
      <c r="F2" s="1">
        <v>1690</v>
      </c>
      <c r="G2" s="4">
        <v>0</v>
      </c>
      <c r="H2" s="4">
        <v>1</v>
      </c>
      <c r="I2" s="1">
        <v>0</v>
      </c>
      <c r="J2" s="1">
        <v>0</v>
      </c>
      <c r="K2" s="1">
        <v>-1690</v>
      </c>
      <c r="L2" s="1" t="s">
        <v>15</v>
      </c>
    </row>
    <row r="3" spans="1:12" x14ac:dyDescent="0.2">
      <c r="A3" s="3" t="s">
        <v>12</v>
      </c>
      <c r="B3" s="1" t="s">
        <v>16</v>
      </c>
      <c r="C3" s="1" t="s">
        <v>14</v>
      </c>
      <c r="D3" s="1">
        <v>0</v>
      </c>
      <c r="E3" s="1">
        <v>1753</v>
      </c>
      <c r="F3" s="1">
        <v>1753</v>
      </c>
      <c r="G3" s="4">
        <v>0</v>
      </c>
      <c r="H3" s="4">
        <v>1</v>
      </c>
      <c r="I3" s="1">
        <v>0</v>
      </c>
      <c r="J3" s="1">
        <v>0</v>
      </c>
      <c r="K3" s="1">
        <v>-1753</v>
      </c>
      <c r="L3" s="1" t="s">
        <v>15</v>
      </c>
    </row>
    <row r="4" spans="1:12" x14ac:dyDescent="0.2">
      <c r="A4" s="3" t="s">
        <v>12</v>
      </c>
      <c r="B4" s="1" t="s">
        <v>17</v>
      </c>
      <c r="C4" s="1" t="s">
        <v>18</v>
      </c>
      <c r="D4" s="1">
        <v>0</v>
      </c>
      <c r="E4" s="1">
        <v>500</v>
      </c>
      <c r="F4" s="1">
        <v>500</v>
      </c>
      <c r="G4" s="4">
        <v>0</v>
      </c>
      <c r="H4" s="4">
        <v>1</v>
      </c>
      <c r="I4" s="1">
        <v>0</v>
      </c>
      <c r="J4" s="1">
        <v>0</v>
      </c>
      <c r="K4" s="1">
        <v>-500</v>
      </c>
      <c r="L4" s="1" t="s">
        <v>15</v>
      </c>
    </row>
    <row r="5" spans="1:12" x14ac:dyDescent="0.2">
      <c r="A5" s="3" t="s">
        <v>12</v>
      </c>
      <c r="B5" s="1" t="s">
        <v>19</v>
      </c>
      <c r="C5" s="1" t="s">
        <v>18</v>
      </c>
      <c r="D5" s="1">
        <v>0</v>
      </c>
      <c r="E5" s="1">
        <v>150</v>
      </c>
      <c r="F5" s="1">
        <v>150</v>
      </c>
      <c r="G5" s="4">
        <v>0</v>
      </c>
      <c r="H5" s="4">
        <v>1</v>
      </c>
      <c r="I5" s="1">
        <v>0</v>
      </c>
      <c r="J5" s="1">
        <v>0</v>
      </c>
      <c r="K5" s="1">
        <v>-150</v>
      </c>
      <c r="L5" s="1" t="s">
        <v>15</v>
      </c>
    </row>
    <row r="6" spans="1:12" x14ac:dyDescent="0.2">
      <c r="A6" s="3" t="s">
        <v>12</v>
      </c>
      <c r="B6" s="1" t="s">
        <v>20</v>
      </c>
      <c r="C6" s="1" t="s">
        <v>14</v>
      </c>
      <c r="D6" s="1">
        <v>0</v>
      </c>
      <c r="E6" s="1">
        <v>1100</v>
      </c>
      <c r="F6" s="1">
        <v>1100</v>
      </c>
      <c r="G6" s="4">
        <v>0</v>
      </c>
      <c r="H6" s="4">
        <v>1</v>
      </c>
      <c r="I6" s="1">
        <v>0</v>
      </c>
      <c r="J6" s="1">
        <v>0</v>
      </c>
      <c r="K6" s="1">
        <v>-1100</v>
      </c>
      <c r="L6" s="1" t="s">
        <v>15</v>
      </c>
    </row>
    <row r="7" spans="1:12" x14ac:dyDescent="0.2">
      <c r="A7" s="3" t="s">
        <v>12</v>
      </c>
      <c r="B7" s="1" t="s">
        <v>21</v>
      </c>
      <c r="C7" s="1" t="s">
        <v>14</v>
      </c>
      <c r="D7" s="1">
        <v>0</v>
      </c>
      <c r="E7" s="1">
        <v>940</v>
      </c>
      <c r="F7" s="1">
        <v>940</v>
      </c>
      <c r="G7" s="4">
        <v>0</v>
      </c>
      <c r="H7" s="4">
        <v>1</v>
      </c>
      <c r="I7" s="1">
        <v>0</v>
      </c>
      <c r="J7" s="1">
        <v>0</v>
      </c>
      <c r="K7" s="1">
        <v>-940</v>
      </c>
      <c r="L7" s="1" t="s">
        <v>15</v>
      </c>
    </row>
    <row r="8" spans="1:12" x14ac:dyDescent="0.2">
      <c r="A8" s="3" t="s">
        <v>12</v>
      </c>
      <c r="B8" s="1" t="s">
        <v>22</v>
      </c>
      <c r="C8" s="1" t="s">
        <v>14</v>
      </c>
      <c r="D8" s="1">
        <v>0</v>
      </c>
      <c r="E8" s="1">
        <v>550</v>
      </c>
      <c r="F8" s="1">
        <v>550</v>
      </c>
      <c r="G8" s="4">
        <v>0</v>
      </c>
      <c r="H8" s="4">
        <v>1</v>
      </c>
      <c r="I8" s="1">
        <v>0</v>
      </c>
      <c r="J8" s="1">
        <v>0</v>
      </c>
      <c r="K8" s="1">
        <v>-550</v>
      </c>
      <c r="L8" s="1" t="s">
        <v>15</v>
      </c>
    </row>
    <row r="9" spans="1:12" x14ac:dyDescent="0.2">
      <c r="A9" s="3" t="s">
        <v>23</v>
      </c>
      <c r="B9" s="1" t="s">
        <v>13</v>
      </c>
      <c r="C9" s="1" t="s">
        <v>14</v>
      </c>
      <c r="D9" s="1">
        <v>150</v>
      </c>
      <c r="E9" s="1">
        <v>2210</v>
      </c>
      <c r="F9" s="1">
        <v>2110</v>
      </c>
      <c r="G9" s="4">
        <v>6.7873303167420795E-2</v>
      </c>
      <c r="H9" s="4">
        <v>0.95475113122171951</v>
      </c>
      <c r="I9" s="1">
        <v>100</v>
      </c>
      <c r="J9" s="1">
        <v>100</v>
      </c>
      <c r="K9" s="1">
        <v>-2060</v>
      </c>
      <c r="L9" s="1" t="s">
        <v>15</v>
      </c>
    </row>
    <row r="10" spans="1:12" x14ac:dyDescent="0.2">
      <c r="A10" s="3" t="s">
        <v>23</v>
      </c>
      <c r="B10" s="1" t="s">
        <v>16</v>
      </c>
      <c r="C10" s="1" t="s">
        <v>14</v>
      </c>
      <c r="D10" s="1">
        <v>297</v>
      </c>
      <c r="E10" s="1">
        <v>0</v>
      </c>
      <c r="F10" s="1">
        <v>0</v>
      </c>
      <c r="G10" s="4" t="s">
        <v>24</v>
      </c>
      <c r="H10" s="4">
        <v>0</v>
      </c>
      <c r="I10" s="1">
        <v>0</v>
      </c>
      <c r="J10" s="1">
        <v>100</v>
      </c>
      <c r="K10" s="1">
        <v>297</v>
      </c>
      <c r="L10" s="1" t="s">
        <v>25</v>
      </c>
    </row>
    <row r="11" spans="1:12" x14ac:dyDescent="0.2">
      <c r="A11" s="3" t="s">
        <v>23</v>
      </c>
      <c r="B11" s="1" t="s">
        <v>21</v>
      </c>
      <c r="C11" s="1" t="s">
        <v>14</v>
      </c>
      <c r="D11" s="1">
        <v>0</v>
      </c>
      <c r="E11" s="1">
        <v>260</v>
      </c>
      <c r="F11" s="1">
        <v>260</v>
      </c>
      <c r="G11" s="4">
        <v>0</v>
      </c>
      <c r="H11" s="4">
        <v>1</v>
      </c>
      <c r="I11" s="1">
        <v>0</v>
      </c>
      <c r="J11" s="1">
        <v>100</v>
      </c>
      <c r="K11" s="1">
        <v>-260</v>
      </c>
      <c r="L11" s="1" t="s">
        <v>15</v>
      </c>
    </row>
    <row r="12" spans="1:12" x14ac:dyDescent="0.2">
      <c r="A12" s="3" t="s">
        <v>23</v>
      </c>
      <c r="B12" s="1" t="s">
        <v>20</v>
      </c>
      <c r="C12" s="1" t="s">
        <v>14</v>
      </c>
      <c r="D12" s="1">
        <v>2021</v>
      </c>
      <c r="E12" s="1">
        <v>3500</v>
      </c>
      <c r="F12" s="1">
        <v>3250</v>
      </c>
      <c r="G12" s="4">
        <v>0.5774285714285714</v>
      </c>
      <c r="H12" s="4">
        <v>0.9285714285714286</v>
      </c>
      <c r="I12" s="1">
        <v>250</v>
      </c>
      <c r="J12" s="1">
        <v>350</v>
      </c>
      <c r="K12" s="1">
        <v>-1479</v>
      </c>
      <c r="L12" s="1" t="s">
        <v>15</v>
      </c>
    </row>
    <row r="13" spans="1:12" x14ac:dyDescent="0.2">
      <c r="A13" s="3" t="s">
        <v>23</v>
      </c>
      <c r="B13" s="1" t="s">
        <v>26</v>
      </c>
      <c r="C13" s="1" t="s">
        <v>14</v>
      </c>
      <c r="D13" s="1">
        <v>6315</v>
      </c>
      <c r="E13" s="1">
        <v>0</v>
      </c>
      <c r="F13" s="1">
        <v>6315</v>
      </c>
      <c r="G13" s="4" t="s">
        <v>24</v>
      </c>
      <c r="H13" s="4">
        <v>0</v>
      </c>
      <c r="I13" s="1">
        <v>-6315</v>
      </c>
      <c r="J13" s="1">
        <v>-5965</v>
      </c>
      <c r="K13" s="1">
        <v>6315</v>
      </c>
      <c r="L13" s="1" t="s">
        <v>25</v>
      </c>
    </row>
    <row r="14" spans="1:12" x14ac:dyDescent="0.2">
      <c r="A14" s="3" t="s">
        <v>23</v>
      </c>
      <c r="B14" s="1" t="s">
        <v>27</v>
      </c>
      <c r="C14" s="1" t="s">
        <v>14</v>
      </c>
      <c r="D14" s="1">
        <v>0</v>
      </c>
      <c r="E14" s="1">
        <v>900</v>
      </c>
      <c r="F14" s="1">
        <v>650</v>
      </c>
      <c r="G14" s="4">
        <v>0</v>
      </c>
      <c r="H14" s="4">
        <v>0.72222222222222221</v>
      </c>
      <c r="I14" s="1">
        <v>250</v>
      </c>
      <c r="J14" s="1">
        <v>-5715</v>
      </c>
      <c r="K14" s="1">
        <v>-900</v>
      </c>
      <c r="L14" s="1" t="s">
        <v>25</v>
      </c>
    </row>
    <row r="15" spans="1:12" x14ac:dyDescent="0.2">
      <c r="A15" s="3" t="s">
        <v>23</v>
      </c>
      <c r="B15" s="1" t="s">
        <v>22</v>
      </c>
      <c r="C15" s="1" t="s">
        <v>14</v>
      </c>
      <c r="D15" s="1">
        <v>1996</v>
      </c>
      <c r="E15" s="1">
        <v>2200</v>
      </c>
      <c r="F15" s="1">
        <v>3586</v>
      </c>
      <c r="G15" s="4">
        <v>0.90727272727272723</v>
      </c>
      <c r="H15" s="4">
        <v>1.63</v>
      </c>
      <c r="I15" s="1">
        <v>-1386</v>
      </c>
      <c r="J15" s="1">
        <v>-7101</v>
      </c>
      <c r="K15" s="1">
        <v>-204</v>
      </c>
      <c r="L15" s="1" t="s">
        <v>28</v>
      </c>
    </row>
    <row r="16" spans="1:12" x14ac:dyDescent="0.2">
      <c r="A16" s="3" t="s">
        <v>23</v>
      </c>
      <c r="B16" s="1" t="s">
        <v>17</v>
      </c>
      <c r="C16" s="1" t="s">
        <v>18</v>
      </c>
      <c r="D16" s="1">
        <v>0</v>
      </c>
      <c r="E16" s="1">
        <v>80</v>
      </c>
      <c r="F16" s="1">
        <v>0</v>
      </c>
      <c r="G16" s="4">
        <v>0</v>
      </c>
      <c r="H16" s="4">
        <v>0</v>
      </c>
      <c r="I16" s="1">
        <v>80</v>
      </c>
      <c r="J16" s="1">
        <v>-7021</v>
      </c>
      <c r="K16" s="1">
        <v>-80</v>
      </c>
      <c r="L16" s="1" t="s">
        <v>25</v>
      </c>
    </row>
    <row r="17" spans="1:12" x14ac:dyDescent="0.2">
      <c r="A17" s="3" t="s">
        <v>23</v>
      </c>
      <c r="B17" s="1" t="s">
        <v>17</v>
      </c>
      <c r="C17" s="1" t="s">
        <v>18</v>
      </c>
      <c r="D17" s="1">
        <v>0</v>
      </c>
      <c r="E17" s="1">
        <v>225</v>
      </c>
      <c r="F17" s="1">
        <v>0</v>
      </c>
      <c r="G17" s="4">
        <v>0</v>
      </c>
      <c r="H17" s="4">
        <v>0</v>
      </c>
      <c r="I17" s="1">
        <v>225</v>
      </c>
      <c r="J17" s="1">
        <v>-6796</v>
      </c>
      <c r="K17" s="1">
        <v>-225</v>
      </c>
      <c r="L17" s="1" t="s">
        <v>25</v>
      </c>
    </row>
    <row r="18" spans="1:12" x14ac:dyDescent="0.2">
      <c r="A18" s="3" t="s">
        <v>23</v>
      </c>
      <c r="B18" s="1" t="s">
        <v>17</v>
      </c>
      <c r="C18" s="1" t="s">
        <v>18</v>
      </c>
      <c r="D18" s="1">
        <v>0</v>
      </c>
      <c r="E18" s="1">
        <v>71</v>
      </c>
      <c r="F18" s="1">
        <v>0</v>
      </c>
      <c r="G18" s="4">
        <v>0</v>
      </c>
      <c r="H18" s="4">
        <v>0</v>
      </c>
      <c r="I18" s="1">
        <v>71</v>
      </c>
      <c r="J18" s="1">
        <v>-6725</v>
      </c>
      <c r="K18" s="1">
        <v>-71</v>
      </c>
      <c r="L18" s="1" t="s">
        <v>25</v>
      </c>
    </row>
    <row r="19" spans="1:12" x14ac:dyDescent="0.2">
      <c r="A19" s="3" t="s">
        <v>29</v>
      </c>
      <c r="B19" s="1" t="s">
        <v>30</v>
      </c>
      <c r="C19" s="1" t="s">
        <v>18</v>
      </c>
      <c r="D19" s="1">
        <v>0</v>
      </c>
      <c r="E19" s="1">
        <v>372</v>
      </c>
      <c r="F19" s="1">
        <v>0</v>
      </c>
      <c r="G19" s="4">
        <v>0</v>
      </c>
      <c r="H19" s="4">
        <v>0</v>
      </c>
      <c r="I19" s="1">
        <v>372</v>
      </c>
      <c r="J19" s="1">
        <v>-6353</v>
      </c>
      <c r="K19" s="1">
        <v>-372</v>
      </c>
      <c r="L19" s="1" t="s">
        <v>25</v>
      </c>
    </row>
    <row r="20" spans="1:12" x14ac:dyDescent="0.2">
      <c r="A20" s="3" t="s">
        <v>29</v>
      </c>
      <c r="B20" s="1" t="s">
        <v>19</v>
      </c>
      <c r="C20" s="1" t="s">
        <v>18</v>
      </c>
      <c r="D20" s="1">
        <v>0</v>
      </c>
      <c r="E20" s="1">
        <v>134</v>
      </c>
      <c r="F20" s="1">
        <v>0</v>
      </c>
      <c r="G20" s="4">
        <v>0</v>
      </c>
      <c r="H20" s="4">
        <v>0</v>
      </c>
      <c r="I20" s="1">
        <v>134</v>
      </c>
      <c r="J20" s="1">
        <v>-6219</v>
      </c>
      <c r="K20" s="1">
        <v>-134</v>
      </c>
      <c r="L20" s="1" t="s">
        <v>25</v>
      </c>
    </row>
    <row r="21" spans="1:12" x14ac:dyDescent="0.2">
      <c r="A21" s="3" t="s">
        <v>29</v>
      </c>
      <c r="B21" s="1" t="s">
        <v>13</v>
      </c>
      <c r="C21" s="1" t="s">
        <v>14</v>
      </c>
      <c r="D21" s="1">
        <v>600</v>
      </c>
      <c r="E21" s="1">
        <v>1750</v>
      </c>
      <c r="F21" s="1">
        <v>0</v>
      </c>
      <c r="G21" s="4">
        <v>0.34285714285714286</v>
      </c>
      <c r="H21" s="4">
        <v>0</v>
      </c>
      <c r="I21" s="1">
        <v>1750</v>
      </c>
      <c r="J21" s="1">
        <v>-4469</v>
      </c>
      <c r="K21" s="1">
        <v>-1150</v>
      </c>
      <c r="L21" s="1" t="s">
        <v>25</v>
      </c>
    </row>
    <row r="22" spans="1:12" x14ac:dyDescent="0.2">
      <c r="A22" s="3" t="s">
        <v>29</v>
      </c>
      <c r="B22" s="1" t="s">
        <v>16</v>
      </c>
      <c r="C22" s="1" t="s">
        <v>14</v>
      </c>
      <c r="D22" s="1">
        <v>1200</v>
      </c>
      <c r="E22" s="1">
        <v>0</v>
      </c>
      <c r="F22" s="1">
        <v>0</v>
      </c>
      <c r="G22" s="4" t="s">
        <v>24</v>
      </c>
      <c r="H22" s="4">
        <v>0</v>
      </c>
      <c r="I22" s="1">
        <v>0</v>
      </c>
      <c r="J22" s="1">
        <v>-4469</v>
      </c>
      <c r="K22" s="1">
        <v>1200</v>
      </c>
      <c r="L22" s="1" t="s">
        <v>25</v>
      </c>
    </row>
    <row r="23" spans="1:12" x14ac:dyDescent="0.2">
      <c r="A23" s="3" t="s">
        <v>29</v>
      </c>
      <c r="B23" s="1" t="s">
        <v>20</v>
      </c>
      <c r="C23" s="1" t="s">
        <v>14</v>
      </c>
      <c r="D23" s="1">
        <v>1080</v>
      </c>
      <c r="E23" s="1">
        <v>1850</v>
      </c>
      <c r="F23" s="1">
        <v>0</v>
      </c>
      <c r="G23" s="4">
        <v>0.58378378378378382</v>
      </c>
      <c r="H23" s="4">
        <v>0</v>
      </c>
      <c r="I23" s="1">
        <v>1850</v>
      </c>
      <c r="J23" s="1">
        <v>-2619</v>
      </c>
      <c r="K23" s="1">
        <v>-770</v>
      </c>
      <c r="L23" s="1" t="s">
        <v>25</v>
      </c>
    </row>
    <row r="24" spans="1:12" x14ac:dyDescent="0.2">
      <c r="A24" s="3" t="s">
        <v>29</v>
      </c>
      <c r="B24" s="1" t="s">
        <v>26</v>
      </c>
      <c r="C24" s="1" t="s">
        <v>14</v>
      </c>
      <c r="D24" s="1">
        <v>2820</v>
      </c>
      <c r="E24" s="1">
        <v>0</v>
      </c>
      <c r="F24" s="1">
        <v>0</v>
      </c>
      <c r="G24" s="4" t="s">
        <v>24</v>
      </c>
      <c r="H24" s="4">
        <v>0</v>
      </c>
      <c r="I24" s="1">
        <v>0</v>
      </c>
      <c r="J24" s="1">
        <v>-2619</v>
      </c>
      <c r="K24" s="1">
        <v>2820</v>
      </c>
      <c r="L24" s="1" t="s">
        <v>25</v>
      </c>
    </row>
    <row r="25" spans="1:12" x14ac:dyDescent="0.2">
      <c r="A25" s="3" t="s">
        <v>29</v>
      </c>
      <c r="B25" s="1" t="s">
        <v>27</v>
      </c>
      <c r="C25" s="1" t="s">
        <v>14</v>
      </c>
      <c r="D25" s="1">
        <v>0</v>
      </c>
      <c r="E25" s="1">
        <v>900</v>
      </c>
      <c r="F25" s="1">
        <v>0</v>
      </c>
      <c r="G25" s="4">
        <v>0</v>
      </c>
      <c r="H25" s="4">
        <v>0</v>
      </c>
      <c r="I25" s="1">
        <v>900</v>
      </c>
      <c r="J25" s="1">
        <v>-1719</v>
      </c>
      <c r="K25" s="1">
        <v>-900</v>
      </c>
      <c r="L25" s="1" t="s">
        <v>25</v>
      </c>
    </row>
    <row r="26" spans="1:12" x14ac:dyDescent="0.2">
      <c r="A26" s="3" t="s">
        <v>29</v>
      </c>
      <c r="B26" s="1" t="s">
        <v>22</v>
      </c>
      <c r="C26" s="1" t="s">
        <v>14</v>
      </c>
      <c r="D26" s="1">
        <v>2280</v>
      </c>
      <c r="E26" s="1">
        <v>1850</v>
      </c>
      <c r="F26" s="1">
        <v>0</v>
      </c>
      <c r="G26" s="4">
        <v>0.7675675675675675</v>
      </c>
      <c r="H26" s="4">
        <v>0</v>
      </c>
      <c r="I26" s="1">
        <v>1850</v>
      </c>
      <c r="J26" s="1">
        <v>131</v>
      </c>
      <c r="K26" s="1">
        <v>430</v>
      </c>
      <c r="L26" s="1" t="s">
        <v>25</v>
      </c>
    </row>
    <row r="27" spans="1:12" x14ac:dyDescent="0.2">
      <c r="A27" s="3" t="s">
        <v>31</v>
      </c>
      <c r="B27" s="1" t="s">
        <v>13</v>
      </c>
      <c r="C27" s="1" t="s">
        <v>14</v>
      </c>
      <c r="D27" s="1">
        <v>1250</v>
      </c>
      <c r="E27" s="1">
        <v>800</v>
      </c>
      <c r="F27" s="1">
        <v>0</v>
      </c>
      <c r="G27" s="4">
        <v>0.4375</v>
      </c>
      <c r="H27" s="4">
        <v>0</v>
      </c>
      <c r="I27" s="1">
        <v>800</v>
      </c>
      <c r="J27" s="1">
        <v>931</v>
      </c>
      <c r="K27" s="1">
        <v>450</v>
      </c>
      <c r="L27" s="1" t="s">
        <v>25</v>
      </c>
    </row>
    <row r="28" spans="1:12" x14ac:dyDescent="0.2">
      <c r="A28" s="3" t="s">
        <v>31</v>
      </c>
      <c r="B28" s="1" t="s">
        <v>13</v>
      </c>
      <c r="C28" s="1" t="s">
        <v>14</v>
      </c>
      <c r="D28" s="1">
        <v>1250</v>
      </c>
      <c r="E28" s="1">
        <v>800</v>
      </c>
      <c r="F28" s="1">
        <v>0</v>
      </c>
      <c r="G28" s="4">
        <v>0.4375</v>
      </c>
      <c r="H28" s="4">
        <v>0</v>
      </c>
      <c r="I28" s="1">
        <v>800</v>
      </c>
      <c r="J28" s="1">
        <v>1731</v>
      </c>
      <c r="K28" s="1">
        <v>450</v>
      </c>
      <c r="L28" s="1" t="s">
        <v>25</v>
      </c>
    </row>
    <row r="29" spans="1:12" x14ac:dyDescent="0.2">
      <c r="A29" s="3" t="s">
        <v>31</v>
      </c>
      <c r="B29" s="1" t="s">
        <v>16</v>
      </c>
      <c r="C29" s="1" t="s">
        <v>14</v>
      </c>
      <c r="D29" s="1">
        <v>1250</v>
      </c>
      <c r="E29" s="1">
        <v>0</v>
      </c>
      <c r="F29" s="1">
        <v>0</v>
      </c>
      <c r="G29" s="4" t="s">
        <v>24</v>
      </c>
      <c r="H29" s="4">
        <v>0</v>
      </c>
      <c r="I29" s="1">
        <v>0</v>
      </c>
      <c r="J29" s="1">
        <v>1731</v>
      </c>
      <c r="K29" s="1">
        <v>1250</v>
      </c>
      <c r="L29" s="1" t="s">
        <v>25</v>
      </c>
    </row>
    <row r="30" spans="1:12" x14ac:dyDescent="0.2">
      <c r="A30" s="3" t="s">
        <v>31</v>
      </c>
      <c r="B30" s="1" t="s">
        <v>20</v>
      </c>
      <c r="C30" s="1" t="s">
        <v>14</v>
      </c>
      <c r="D30" s="1">
        <v>2560</v>
      </c>
      <c r="E30" s="1">
        <v>800</v>
      </c>
      <c r="F30" s="1">
        <v>0</v>
      </c>
      <c r="G30" s="4">
        <v>0</v>
      </c>
      <c r="H30" s="4">
        <v>0</v>
      </c>
      <c r="I30" s="1">
        <v>800</v>
      </c>
      <c r="J30" s="1">
        <v>2531</v>
      </c>
      <c r="K30" s="1">
        <v>1760</v>
      </c>
      <c r="L30" s="1" t="s">
        <v>25</v>
      </c>
    </row>
    <row r="31" spans="1:12" x14ac:dyDescent="0.2">
      <c r="A31" s="3" t="s">
        <v>31</v>
      </c>
      <c r="B31" s="1" t="s">
        <v>27</v>
      </c>
      <c r="C31" s="1" t="s">
        <v>14</v>
      </c>
      <c r="D31" s="1">
        <v>0</v>
      </c>
      <c r="E31" s="1">
        <v>800</v>
      </c>
      <c r="F31" s="1">
        <v>0</v>
      </c>
      <c r="G31" s="4">
        <v>0</v>
      </c>
      <c r="H31" s="4">
        <v>0</v>
      </c>
      <c r="I31" s="1">
        <v>800</v>
      </c>
      <c r="J31" s="1">
        <v>3331</v>
      </c>
      <c r="K31" s="1">
        <v>-800</v>
      </c>
      <c r="L31" s="1" t="s">
        <v>25</v>
      </c>
    </row>
    <row r="32" spans="1:12" x14ac:dyDescent="0.2">
      <c r="A32" s="3" t="s">
        <v>31</v>
      </c>
      <c r="B32" s="1" t="s">
        <v>26</v>
      </c>
      <c r="C32" s="1" t="s">
        <v>14</v>
      </c>
      <c r="D32" s="1">
        <v>6220</v>
      </c>
      <c r="E32" s="1">
        <v>0</v>
      </c>
      <c r="F32" s="1">
        <v>0</v>
      </c>
      <c r="G32" s="4" t="s">
        <v>24</v>
      </c>
      <c r="H32" s="4">
        <v>0</v>
      </c>
      <c r="I32" s="1">
        <v>0</v>
      </c>
      <c r="J32" s="1">
        <v>3331</v>
      </c>
      <c r="K32" s="1">
        <v>6220</v>
      </c>
      <c r="L32" s="1" t="s">
        <v>25</v>
      </c>
    </row>
    <row r="33" spans="1:12" x14ac:dyDescent="0.2">
      <c r="A33" s="3" t="s">
        <v>31</v>
      </c>
      <c r="B33" s="1" t="s">
        <v>22</v>
      </c>
      <c r="C33" s="1" t="s">
        <v>14</v>
      </c>
      <c r="D33" s="1">
        <v>2513</v>
      </c>
      <c r="E33" s="1">
        <v>800</v>
      </c>
      <c r="F33" s="1">
        <v>0</v>
      </c>
      <c r="G33" s="4">
        <v>0</v>
      </c>
      <c r="H33" s="4">
        <v>0</v>
      </c>
      <c r="I33" s="1">
        <v>800</v>
      </c>
      <c r="J33" s="1">
        <v>4131</v>
      </c>
      <c r="K33" s="1">
        <v>1713</v>
      </c>
      <c r="L33" s="1" t="s">
        <v>25</v>
      </c>
    </row>
    <row r="34" spans="1:12" x14ac:dyDescent="0.2">
      <c r="A34" s="3" t="s">
        <v>32</v>
      </c>
      <c r="B34" s="1" t="s">
        <v>13</v>
      </c>
      <c r="C34" s="1" t="s">
        <v>14</v>
      </c>
      <c r="D34" s="1">
        <v>1900</v>
      </c>
      <c r="E34" s="1">
        <v>0</v>
      </c>
      <c r="F34" s="1">
        <v>0</v>
      </c>
      <c r="G34" s="4" t="s">
        <v>24</v>
      </c>
      <c r="H34" s="4">
        <v>0</v>
      </c>
      <c r="I34" s="1">
        <v>0</v>
      </c>
      <c r="J34" s="1">
        <v>4131</v>
      </c>
      <c r="K34" s="1">
        <v>1900</v>
      </c>
      <c r="L34" s="1" t="s">
        <v>25</v>
      </c>
    </row>
    <row r="35" spans="1:12" x14ac:dyDescent="0.2">
      <c r="A35" s="3" t="s">
        <v>32</v>
      </c>
      <c r="B35" s="1" t="s">
        <v>16</v>
      </c>
      <c r="C35" s="1" t="s">
        <v>14</v>
      </c>
      <c r="D35" s="1">
        <v>2000</v>
      </c>
      <c r="E35" s="1">
        <v>0</v>
      </c>
      <c r="F35" s="1">
        <v>0</v>
      </c>
      <c r="G35" s="4" t="s">
        <v>24</v>
      </c>
      <c r="H35" s="4">
        <v>0</v>
      </c>
      <c r="I35" s="1">
        <v>0</v>
      </c>
      <c r="J35" s="1">
        <v>4131</v>
      </c>
      <c r="K35" s="1">
        <v>2000</v>
      </c>
      <c r="L35" s="1" t="s">
        <v>25</v>
      </c>
    </row>
    <row r="36" spans="1:12" x14ac:dyDescent="0.2">
      <c r="A36" s="3" t="s">
        <v>32</v>
      </c>
      <c r="B36" s="1" t="s">
        <v>21</v>
      </c>
      <c r="C36" s="1" t="s">
        <v>14</v>
      </c>
      <c r="D36" s="1">
        <v>500</v>
      </c>
      <c r="E36" s="1">
        <v>0</v>
      </c>
      <c r="F36" s="1">
        <v>0</v>
      </c>
      <c r="G36" s="4" t="s">
        <v>24</v>
      </c>
      <c r="H36" s="4">
        <v>0</v>
      </c>
      <c r="I36" s="1">
        <v>0</v>
      </c>
      <c r="J36" s="1">
        <v>4131</v>
      </c>
      <c r="K36" s="1">
        <v>500</v>
      </c>
      <c r="L36" s="1" t="s">
        <v>25</v>
      </c>
    </row>
    <row r="37" spans="1:12" x14ac:dyDescent="0.2">
      <c r="A37" s="3" t="s">
        <v>32</v>
      </c>
      <c r="B37" s="1" t="s">
        <v>20</v>
      </c>
      <c r="C37" s="1" t="s">
        <v>14</v>
      </c>
      <c r="D37" s="1">
        <v>1620</v>
      </c>
      <c r="E37" s="1">
        <v>220</v>
      </c>
      <c r="F37" s="1">
        <v>0</v>
      </c>
      <c r="G37" s="4">
        <v>0</v>
      </c>
      <c r="H37" s="4">
        <v>0</v>
      </c>
      <c r="I37" s="1">
        <v>220</v>
      </c>
      <c r="J37" s="1">
        <v>4351</v>
      </c>
      <c r="K37" s="1">
        <v>1400</v>
      </c>
      <c r="L37" s="1" t="s">
        <v>25</v>
      </c>
    </row>
    <row r="38" spans="1:12" x14ac:dyDescent="0.2">
      <c r="A38" s="3" t="s">
        <v>32</v>
      </c>
      <c r="B38" s="1" t="s">
        <v>26</v>
      </c>
      <c r="C38" s="1" t="s">
        <v>14</v>
      </c>
      <c r="D38" s="1">
        <v>3560</v>
      </c>
      <c r="E38" s="1">
        <v>0</v>
      </c>
      <c r="F38" s="1">
        <v>0</v>
      </c>
      <c r="G38" s="4" t="s">
        <v>24</v>
      </c>
      <c r="H38" s="4">
        <v>0</v>
      </c>
      <c r="I38" s="1">
        <v>0</v>
      </c>
      <c r="J38" s="1">
        <v>4351</v>
      </c>
      <c r="K38" s="1">
        <v>3560</v>
      </c>
      <c r="L38" s="1" t="s">
        <v>25</v>
      </c>
    </row>
    <row r="39" spans="1:12" x14ac:dyDescent="0.2">
      <c r="A39" s="3" t="s">
        <v>32</v>
      </c>
      <c r="B39" s="1" t="s">
        <v>22</v>
      </c>
      <c r="C39" s="1" t="s">
        <v>14</v>
      </c>
      <c r="D39" s="1">
        <v>1643</v>
      </c>
      <c r="E39" s="1">
        <v>0</v>
      </c>
      <c r="F39" s="1">
        <v>0</v>
      </c>
      <c r="G39" s="4" t="s">
        <v>24</v>
      </c>
      <c r="H39" s="4">
        <v>0</v>
      </c>
      <c r="I39" s="1">
        <v>0</v>
      </c>
      <c r="J39" s="1">
        <v>4351</v>
      </c>
      <c r="K39" s="1">
        <v>1643</v>
      </c>
      <c r="L39" s="1" t="s">
        <v>25</v>
      </c>
    </row>
    <row r="40" spans="1:12" x14ac:dyDescent="0.2">
      <c r="A40" s="3" t="s">
        <v>32</v>
      </c>
      <c r="B40" s="1" t="s">
        <v>17</v>
      </c>
      <c r="C40" s="1" t="s">
        <v>18</v>
      </c>
      <c r="D40" s="1">
        <v>0</v>
      </c>
      <c r="E40" s="1">
        <v>300</v>
      </c>
      <c r="F40" s="1">
        <v>0</v>
      </c>
      <c r="G40" s="4">
        <v>0</v>
      </c>
      <c r="H40" s="4">
        <v>0</v>
      </c>
      <c r="I40" s="1">
        <v>300</v>
      </c>
      <c r="J40" s="1">
        <v>4651</v>
      </c>
      <c r="K40" s="1">
        <v>-300</v>
      </c>
      <c r="L40" s="1" t="s">
        <v>25</v>
      </c>
    </row>
    <row r="41" spans="1:12" x14ac:dyDescent="0.2">
      <c r="A41" s="3" t="s">
        <v>33</v>
      </c>
      <c r="B41" s="1" t="s">
        <v>13</v>
      </c>
      <c r="C41" s="1" t="s">
        <v>14</v>
      </c>
      <c r="D41" s="1">
        <v>3700</v>
      </c>
      <c r="E41" s="1">
        <v>0</v>
      </c>
      <c r="F41" s="1">
        <v>0</v>
      </c>
      <c r="G41" s="4" t="s">
        <v>24</v>
      </c>
      <c r="H41" s="4">
        <v>0</v>
      </c>
      <c r="I41" s="1">
        <v>0</v>
      </c>
      <c r="J41" s="1">
        <v>4651</v>
      </c>
      <c r="K41" s="1">
        <v>3700</v>
      </c>
      <c r="L41" s="1" t="s">
        <v>25</v>
      </c>
    </row>
    <row r="42" spans="1:12" x14ac:dyDescent="0.2">
      <c r="A42" s="3" t="s">
        <v>33</v>
      </c>
      <c r="B42" s="1" t="s">
        <v>16</v>
      </c>
      <c r="C42" s="1" t="s">
        <v>14</v>
      </c>
      <c r="D42" s="1">
        <v>2450</v>
      </c>
      <c r="E42" s="1">
        <v>0</v>
      </c>
      <c r="F42" s="1">
        <v>0</v>
      </c>
      <c r="G42" s="4" t="s">
        <v>24</v>
      </c>
      <c r="H42" s="4">
        <v>0</v>
      </c>
      <c r="I42" s="1">
        <v>0</v>
      </c>
      <c r="J42" s="1">
        <v>4651</v>
      </c>
      <c r="K42" s="1">
        <v>2450</v>
      </c>
      <c r="L42" s="1" t="s">
        <v>25</v>
      </c>
    </row>
    <row r="43" spans="1:12" x14ac:dyDescent="0.2">
      <c r="A43" s="3" t="s">
        <v>33</v>
      </c>
      <c r="B43" s="1" t="s">
        <v>21</v>
      </c>
      <c r="C43" s="1" t="s">
        <v>14</v>
      </c>
      <c r="D43" s="1">
        <v>2550</v>
      </c>
      <c r="E43" s="1">
        <v>0</v>
      </c>
      <c r="F43" s="1">
        <v>0</v>
      </c>
      <c r="G43" s="4" t="s">
        <v>24</v>
      </c>
      <c r="H43" s="4">
        <v>0</v>
      </c>
      <c r="I43" s="1">
        <v>0</v>
      </c>
      <c r="J43" s="1">
        <v>4651</v>
      </c>
      <c r="K43" s="1">
        <v>2550</v>
      </c>
      <c r="L43" s="1" t="s">
        <v>25</v>
      </c>
    </row>
    <row r="44" spans="1:12" x14ac:dyDescent="0.2">
      <c r="A44" s="3" t="s">
        <v>33</v>
      </c>
      <c r="B44" s="1" t="s">
        <v>20</v>
      </c>
      <c r="C44" s="1" t="s">
        <v>14</v>
      </c>
      <c r="D44" s="1">
        <v>620</v>
      </c>
      <c r="E44" s="1">
        <v>0</v>
      </c>
      <c r="F44" s="1">
        <v>0</v>
      </c>
      <c r="G44" s="4" t="s">
        <v>24</v>
      </c>
      <c r="H44" s="4">
        <v>0</v>
      </c>
      <c r="I44" s="1">
        <v>0</v>
      </c>
      <c r="J44" s="1">
        <v>4651</v>
      </c>
      <c r="K44" s="1">
        <v>620</v>
      </c>
      <c r="L44" s="1" t="s">
        <v>25</v>
      </c>
    </row>
    <row r="45" spans="1:12" x14ac:dyDescent="0.2">
      <c r="A45" s="3" t="s">
        <v>33</v>
      </c>
      <c r="B45" s="1" t="s">
        <v>26</v>
      </c>
      <c r="C45" s="1" t="s">
        <v>14</v>
      </c>
      <c r="D45" s="1">
        <v>2660</v>
      </c>
      <c r="E45" s="1">
        <v>0</v>
      </c>
      <c r="F45" s="1">
        <v>0</v>
      </c>
      <c r="G45" s="4" t="s">
        <v>24</v>
      </c>
      <c r="H45" s="4">
        <v>0</v>
      </c>
      <c r="I45" s="1">
        <v>0</v>
      </c>
      <c r="J45" s="1">
        <v>4651</v>
      </c>
      <c r="K45" s="1">
        <v>2660</v>
      </c>
      <c r="L45" s="1" t="s">
        <v>25</v>
      </c>
    </row>
    <row r="46" spans="1:12" x14ac:dyDescent="0.2">
      <c r="A46" s="3" t="s">
        <v>33</v>
      </c>
      <c r="B46" s="1" t="s">
        <v>22</v>
      </c>
      <c r="C46" s="1" t="s">
        <v>14</v>
      </c>
      <c r="D46" s="1">
        <v>1388</v>
      </c>
      <c r="E46" s="1">
        <v>0</v>
      </c>
      <c r="F46" s="1">
        <v>0</v>
      </c>
      <c r="G46" s="4" t="s">
        <v>24</v>
      </c>
      <c r="H46" s="4">
        <v>0</v>
      </c>
      <c r="I46" s="1">
        <v>0</v>
      </c>
      <c r="J46" s="1">
        <v>4651</v>
      </c>
      <c r="K46" s="1">
        <v>1388</v>
      </c>
      <c r="L46" s="1" t="s">
        <v>25</v>
      </c>
    </row>
    <row r="47" spans="1:12" x14ac:dyDescent="0.2">
      <c r="A47" s="3" t="s">
        <v>34</v>
      </c>
      <c r="B47" s="1" t="s">
        <v>13</v>
      </c>
      <c r="C47" s="1" t="s">
        <v>14</v>
      </c>
      <c r="D47" s="1">
        <v>2250</v>
      </c>
      <c r="E47" s="1">
        <v>0</v>
      </c>
      <c r="F47" s="1">
        <v>0</v>
      </c>
      <c r="G47" s="4" t="s">
        <v>24</v>
      </c>
      <c r="H47" s="4">
        <v>0</v>
      </c>
      <c r="I47" s="1">
        <v>0</v>
      </c>
      <c r="J47" s="1">
        <v>4651</v>
      </c>
      <c r="K47" s="1">
        <v>2250</v>
      </c>
      <c r="L47" s="1" t="s">
        <v>25</v>
      </c>
    </row>
    <row r="48" spans="1:12" x14ac:dyDescent="0.2">
      <c r="A48" s="3" t="s">
        <v>34</v>
      </c>
      <c r="B48" s="1" t="s">
        <v>16</v>
      </c>
      <c r="C48" s="1" t="s">
        <v>14</v>
      </c>
      <c r="D48" s="1">
        <v>1750</v>
      </c>
      <c r="E48" s="1">
        <v>0</v>
      </c>
      <c r="F48" s="1">
        <v>0</v>
      </c>
      <c r="G48" s="4" t="s">
        <v>24</v>
      </c>
      <c r="H48" s="4">
        <v>0</v>
      </c>
      <c r="I48" s="1">
        <v>0</v>
      </c>
      <c r="J48" s="1">
        <v>4651</v>
      </c>
      <c r="K48" s="1">
        <v>1750</v>
      </c>
      <c r="L48" s="1" t="s">
        <v>25</v>
      </c>
    </row>
    <row r="49" spans="1:12" x14ac:dyDescent="0.2">
      <c r="A49" s="3" t="s">
        <v>34</v>
      </c>
      <c r="B49" s="1" t="s">
        <v>21</v>
      </c>
      <c r="C49" s="1" t="s">
        <v>14</v>
      </c>
      <c r="D49" s="1">
        <v>1750</v>
      </c>
      <c r="E49" s="1">
        <v>0</v>
      </c>
      <c r="F49" s="1">
        <v>0</v>
      </c>
      <c r="G49" s="4" t="s">
        <v>24</v>
      </c>
      <c r="H49" s="4">
        <v>0</v>
      </c>
      <c r="I49" s="1">
        <v>0</v>
      </c>
      <c r="J49" s="1">
        <v>4651</v>
      </c>
      <c r="K49" s="1">
        <v>1750</v>
      </c>
      <c r="L49" s="1" t="s">
        <v>25</v>
      </c>
    </row>
    <row r="50" spans="1:12" x14ac:dyDescent="0.2">
      <c r="A50" s="3" t="s">
        <v>34</v>
      </c>
      <c r="B50" s="1" t="s">
        <v>20</v>
      </c>
      <c r="C50" s="1" t="s">
        <v>14</v>
      </c>
      <c r="D50" s="1">
        <v>700</v>
      </c>
      <c r="E50" s="1">
        <v>0</v>
      </c>
      <c r="F50" s="1">
        <v>0</v>
      </c>
      <c r="G50" s="4" t="s">
        <v>24</v>
      </c>
      <c r="H50" s="4">
        <v>0</v>
      </c>
      <c r="I50" s="1">
        <v>0</v>
      </c>
      <c r="J50" s="1">
        <v>4651</v>
      </c>
      <c r="K50" s="1">
        <v>700</v>
      </c>
      <c r="L50" s="1" t="s">
        <v>25</v>
      </c>
    </row>
    <row r="51" spans="1:12" x14ac:dyDescent="0.2">
      <c r="A51" s="3" t="s">
        <v>34</v>
      </c>
      <c r="B51" s="1" t="s">
        <v>27</v>
      </c>
      <c r="C51" s="1" t="s">
        <v>14</v>
      </c>
      <c r="D51" s="1">
        <v>500</v>
      </c>
      <c r="E51" s="1">
        <v>0</v>
      </c>
      <c r="F51" s="1">
        <v>0</v>
      </c>
      <c r="G51" s="4" t="s">
        <v>24</v>
      </c>
      <c r="H51" s="4">
        <v>0</v>
      </c>
      <c r="I51" s="1">
        <v>0</v>
      </c>
      <c r="J51" s="1">
        <v>4651</v>
      </c>
      <c r="K51" s="1">
        <v>500</v>
      </c>
      <c r="L51" s="1" t="s">
        <v>25</v>
      </c>
    </row>
    <row r="52" spans="1:12" x14ac:dyDescent="0.2">
      <c r="A52" s="3" t="s">
        <v>34</v>
      </c>
      <c r="B52" s="1" t="s">
        <v>26</v>
      </c>
      <c r="C52" s="1" t="s">
        <v>14</v>
      </c>
      <c r="D52" s="1">
        <v>2100</v>
      </c>
      <c r="E52" s="1">
        <v>0</v>
      </c>
      <c r="F52" s="1">
        <v>0</v>
      </c>
      <c r="G52" s="4" t="s">
        <v>24</v>
      </c>
      <c r="H52" s="4">
        <v>0</v>
      </c>
      <c r="I52" s="1">
        <v>0</v>
      </c>
      <c r="J52" s="1">
        <v>4651</v>
      </c>
      <c r="K52" s="1">
        <v>2100</v>
      </c>
      <c r="L52" s="1" t="s">
        <v>25</v>
      </c>
    </row>
    <row r="53" spans="1:12" x14ac:dyDescent="0.2">
      <c r="A53" s="3" t="s">
        <v>34</v>
      </c>
      <c r="B53" s="1" t="s">
        <v>22</v>
      </c>
      <c r="C53" s="1" t="s">
        <v>14</v>
      </c>
      <c r="D53" s="1">
        <v>1918</v>
      </c>
      <c r="E53" s="1">
        <v>0</v>
      </c>
      <c r="F53" s="1">
        <v>0</v>
      </c>
      <c r="G53" s="4" t="s">
        <v>24</v>
      </c>
      <c r="H53" s="4">
        <v>0</v>
      </c>
      <c r="I53" s="1">
        <v>0</v>
      </c>
      <c r="J53" s="1">
        <v>4651</v>
      </c>
      <c r="K53" s="1">
        <v>1918</v>
      </c>
      <c r="L53" s="1" t="s">
        <v>25</v>
      </c>
    </row>
    <row r="54" spans="1:12" x14ac:dyDescent="0.2">
      <c r="A54" s="3" t="s">
        <v>35</v>
      </c>
      <c r="B54" s="1" t="s">
        <v>13</v>
      </c>
      <c r="C54" s="1" t="s">
        <v>14</v>
      </c>
      <c r="D54" s="1">
        <v>3000</v>
      </c>
      <c r="E54" s="1">
        <v>0</v>
      </c>
      <c r="F54" s="1">
        <v>0</v>
      </c>
      <c r="G54" s="4" t="s">
        <v>24</v>
      </c>
      <c r="H54" s="4">
        <v>0</v>
      </c>
      <c r="I54" s="1">
        <v>0</v>
      </c>
      <c r="J54" s="1">
        <v>4651</v>
      </c>
      <c r="K54" s="1">
        <v>3000</v>
      </c>
      <c r="L54" s="1" t="s">
        <v>25</v>
      </c>
    </row>
    <row r="55" spans="1:12" x14ac:dyDescent="0.2">
      <c r="A55" s="3" t="s">
        <v>35</v>
      </c>
      <c r="B55" s="1" t="s">
        <v>16</v>
      </c>
      <c r="C55" s="1" t="s">
        <v>14</v>
      </c>
      <c r="D55" s="1">
        <v>1500</v>
      </c>
      <c r="E55" s="1">
        <v>0</v>
      </c>
      <c r="F55" s="1">
        <v>0</v>
      </c>
      <c r="G55" s="4" t="s">
        <v>24</v>
      </c>
      <c r="H55" s="4">
        <v>0</v>
      </c>
      <c r="I55" s="1">
        <v>0</v>
      </c>
      <c r="J55" s="1">
        <v>4651</v>
      </c>
      <c r="K55" s="1">
        <v>1500</v>
      </c>
      <c r="L55" s="1" t="s">
        <v>25</v>
      </c>
    </row>
    <row r="56" spans="1:12" x14ac:dyDescent="0.2">
      <c r="A56" s="3" t="s">
        <v>35</v>
      </c>
      <c r="B56" s="1" t="s">
        <v>21</v>
      </c>
      <c r="C56" s="1" t="s">
        <v>14</v>
      </c>
      <c r="D56" s="1">
        <v>500</v>
      </c>
      <c r="E56" s="1">
        <v>0</v>
      </c>
      <c r="F56" s="1">
        <v>0</v>
      </c>
      <c r="G56" s="4" t="s">
        <v>24</v>
      </c>
      <c r="H56" s="4">
        <v>0</v>
      </c>
      <c r="I56" s="1">
        <v>0</v>
      </c>
      <c r="J56" s="1">
        <v>4651</v>
      </c>
      <c r="K56" s="1">
        <v>500</v>
      </c>
      <c r="L56" s="1" t="s">
        <v>25</v>
      </c>
    </row>
    <row r="57" spans="1:12" x14ac:dyDescent="0.2">
      <c r="A57" s="3" t="s">
        <v>35</v>
      </c>
      <c r="B57" s="1" t="s">
        <v>20</v>
      </c>
      <c r="C57" s="1" t="s">
        <v>14</v>
      </c>
      <c r="D57" s="1">
        <v>740</v>
      </c>
      <c r="E57" s="1">
        <v>0</v>
      </c>
      <c r="F57" s="1">
        <v>0</v>
      </c>
      <c r="G57" s="4" t="s">
        <v>24</v>
      </c>
      <c r="H57" s="4">
        <v>0</v>
      </c>
      <c r="I57" s="1">
        <v>0</v>
      </c>
      <c r="J57" s="1">
        <v>4651</v>
      </c>
      <c r="K57" s="1">
        <v>740</v>
      </c>
      <c r="L57" s="1" t="s">
        <v>25</v>
      </c>
    </row>
    <row r="58" spans="1:12" x14ac:dyDescent="0.2">
      <c r="A58" s="3" t="s">
        <v>35</v>
      </c>
      <c r="B58" s="1" t="s">
        <v>27</v>
      </c>
      <c r="C58" s="1" t="s">
        <v>14</v>
      </c>
      <c r="D58" s="1">
        <v>500</v>
      </c>
      <c r="E58" s="1">
        <v>0</v>
      </c>
      <c r="F58" s="1">
        <v>0</v>
      </c>
      <c r="G58" s="4" t="s">
        <v>24</v>
      </c>
      <c r="H58" s="4">
        <v>0</v>
      </c>
      <c r="I58" s="1">
        <v>0</v>
      </c>
      <c r="J58" s="1">
        <v>4651</v>
      </c>
      <c r="K58" s="1">
        <v>500</v>
      </c>
      <c r="L58" s="1" t="s">
        <v>25</v>
      </c>
    </row>
    <row r="59" spans="1:12" x14ac:dyDescent="0.2">
      <c r="A59" s="3" t="s">
        <v>35</v>
      </c>
      <c r="B59" s="1" t="s">
        <v>26</v>
      </c>
      <c r="C59" s="1" t="s">
        <v>14</v>
      </c>
      <c r="D59" s="1">
        <v>2100</v>
      </c>
      <c r="E59" s="1">
        <v>0</v>
      </c>
      <c r="F59" s="1">
        <v>0</v>
      </c>
      <c r="G59" s="4" t="s">
        <v>24</v>
      </c>
      <c r="H59" s="4">
        <v>0</v>
      </c>
      <c r="I59" s="1">
        <v>0</v>
      </c>
      <c r="J59" s="1">
        <v>4651</v>
      </c>
      <c r="K59" s="1">
        <v>2100</v>
      </c>
      <c r="L59" s="1" t="s">
        <v>25</v>
      </c>
    </row>
    <row r="60" spans="1:12" x14ac:dyDescent="0.2">
      <c r="A60" s="3" t="s">
        <v>35</v>
      </c>
      <c r="B60" s="1" t="s">
        <v>22</v>
      </c>
      <c r="C60" s="1" t="s">
        <v>14</v>
      </c>
      <c r="D60" s="1">
        <v>2203</v>
      </c>
      <c r="E60" s="1">
        <v>0</v>
      </c>
      <c r="F60" s="1">
        <v>0</v>
      </c>
      <c r="G60" s="4" t="s">
        <v>24</v>
      </c>
      <c r="H60" s="4">
        <v>0</v>
      </c>
      <c r="I60" s="1">
        <v>0</v>
      </c>
      <c r="J60" s="1">
        <v>4651</v>
      </c>
      <c r="K60" s="1">
        <v>2203</v>
      </c>
      <c r="L60" s="1" t="s">
        <v>25</v>
      </c>
    </row>
    <row r="61" spans="1:12" x14ac:dyDescent="0.2">
      <c r="A61" s="3" t="s">
        <v>36</v>
      </c>
      <c r="B61" s="1" t="s">
        <v>13</v>
      </c>
      <c r="C61" s="1" t="s">
        <v>14</v>
      </c>
      <c r="D61" s="1">
        <v>1180</v>
      </c>
      <c r="E61" s="1">
        <v>0</v>
      </c>
      <c r="F61" s="1">
        <v>0</v>
      </c>
      <c r="G61" s="4" t="s">
        <v>24</v>
      </c>
      <c r="H61" s="4">
        <v>0</v>
      </c>
      <c r="I61" s="1">
        <v>0</v>
      </c>
      <c r="J61" s="1">
        <v>4651</v>
      </c>
      <c r="K61" s="1">
        <v>1180</v>
      </c>
      <c r="L61" s="1" t="s">
        <v>25</v>
      </c>
    </row>
    <row r="62" spans="1:12" x14ac:dyDescent="0.2">
      <c r="A62" s="3" t="s">
        <v>36</v>
      </c>
      <c r="B62" s="1" t="s">
        <v>16</v>
      </c>
      <c r="C62" s="1" t="s">
        <v>14</v>
      </c>
      <c r="D62" s="1">
        <v>2095</v>
      </c>
      <c r="E62" s="1">
        <v>0</v>
      </c>
      <c r="F62" s="1">
        <v>0</v>
      </c>
      <c r="G62" s="4" t="s">
        <v>24</v>
      </c>
      <c r="H62" s="4">
        <v>0</v>
      </c>
      <c r="I62" s="1">
        <v>0</v>
      </c>
      <c r="J62" s="1">
        <v>4651</v>
      </c>
      <c r="K62" s="1">
        <v>2095</v>
      </c>
      <c r="L62" s="1" t="s">
        <v>25</v>
      </c>
    </row>
    <row r="63" spans="1:12" x14ac:dyDescent="0.2">
      <c r="A63" s="3" t="s">
        <v>36</v>
      </c>
      <c r="B63" s="1" t="s">
        <v>21</v>
      </c>
      <c r="C63" s="1" t="s">
        <v>14</v>
      </c>
      <c r="D63" s="1">
        <v>250</v>
      </c>
      <c r="E63" s="1">
        <v>0</v>
      </c>
      <c r="F63" s="1">
        <v>0</v>
      </c>
      <c r="G63" s="4" t="s">
        <v>24</v>
      </c>
      <c r="H63" s="4">
        <v>0</v>
      </c>
      <c r="I63" s="1">
        <v>0</v>
      </c>
      <c r="J63" s="1">
        <v>4651</v>
      </c>
      <c r="K63" s="1">
        <v>250</v>
      </c>
      <c r="L63" s="1" t="s">
        <v>25</v>
      </c>
    </row>
    <row r="64" spans="1:12" x14ac:dyDescent="0.2">
      <c r="A64" s="3" t="s">
        <v>36</v>
      </c>
      <c r="B64" s="1" t="s">
        <v>20</v>
      </c>
      <c r="C64" s="1" t="s">
        <v>14</v>
      </c>
      <c r="D64" s="1">
        <v>960</v>
      </c>
      <c r="E64" s="1">
        <v>0</v>
      </c>
      <c r="F64" s="1">
        <v>0</v>
      </c>
      <c r="G64" s="4" t="s">
        <v>24</v>
      </c>
      <c r="H64" s="4">
        <v>0</v>
      </c>
      <c r="I64" s="1">
        <v>0</v>
      </c>
      <c r="J64" s="1">
        <v>4651</v>
      </c>
      <c r="K64" s="1">
        <v>960</v>
      </c>
      <c r="L64" s="1" t="s">
        <v>25</v>
      </c>
    </row>
    <row r="65" spans="1:12" x14ac:dyDescent="0.2">
      <c r="A65" s="3" t="s">
        <v>36</v>
      </c>
      <c r="B65" s="1" t="s">
        <v>27</v>
      </c>
      <c r="C65" s="1" t="s">
        <v>14</v>
      </c>
      <c r="D65" s="1">
        <v>430</v>
      </c>
      <c r="E65" s="1">
        <v>0</v>
      </c>
      <c r="F65" s="1">
        <v>0</v>
      </c>
      <c r="G65" s="4" t="s">
        <v>24</v>
      </c>
      <c r="H65" s="4">
        <v>0</v>
      </c>
      <c r="I65" s="1">
        <v>0</v>
      </c>
      <c r="J65" s="1">
        <v>4651</v>
      </c>
      <c r="K65" s="1">
        <v>430</v>
      </c>
      <c r="L65" s="1" t="s">
        <v>25</v>
      </c>
    </row>
    <row r="66" spans="1:12" x14ac:dyDescent="0.2">
      <c r="A66" s="3" t="s">
        <v>36</v>
      </c>
      <c r="B66" s="1" t="s">
        <v>26</v>
      </c>
      <c r="C66" s="1" t="s">
        <v>14</v>
      </c>
      <c r="D66" s="1">
        <v>2480</v>
      </c>
      <c r="E66" s="1">
        <v>0</v>
      </c>
      <c r="F66" s="1">
        <v>0</v>
      </c>
      <c r="G66" s="4" t="s">
        <v>24</v>
      </c>
      <c r="H66" s="4">
        <v>0</v>
      </c>
      <c r="I66" s="1">
        <v>0</v>
      </c>
      <c r="J66" s="1">
        <v>4651</v>
      </c>
      <c r="K66" s="1">
        <v>2480</v>
      </c>
      <c r="L66" s="1" t="s">
        <v>25</v>
      </c>
    </row>
    <row r="67" spans="1:12" x14ac:dyDescent="0.2">
      <c r="G67" s="4" t="str">
        <f>IF([1]!Table1[[#This Row],[Ordered]]=0,"",MAX(0,1-ABS([1]!Table1[[#This Row],[Forecast/MTS]]-[1]!Table1[[#This Row],[Ordered]])/[1]!Table1[[#This Row],[Ordered]]))</f>
        <v/>
      </c>
      <c r="H67" s="4">
        <f t="shared" ref="H66:H100" si="0">IF(E67=0,0,F67/E67)</f>
        <v>0</v>
      </c>
      <c r="I67" s="1">
        <f t="shared" ref="I66:I100" si="1">E67-F67</f>
        <v>0</v>
      </c>
      <c r="J67" s="1">
        <f t="shared" ref="J67:J100" si="2">J66+I67</f>
        <v>4651</v>
      </c>
      <c r="K67" s="1">
        <f t="shared" ref="K66:K100" si="3">D67-E67</f>
        <v>0</v>
      </c>
      <c r="L67" s="1" t="str">
        <f t="shared" ref="L66:L100" si="4">IF(H67&lt;0.9,"CRITICAL",IF(G67&lt;0.8,"CHECK FORECAST","OK"))</f>
        <v>CRITICAL</v>
      </c>
    </row>
    <row r="68" spans="1:12" x14ac:dyDescent="0.2">
      <c r="G68" s="4" t="str">
        <f>IF([1]!Table1[[#This Row],[Ordered]]=0,"",MAX(0,1-ABS([1]!Table1[[#This Row],[Forecast/MTS]]-[1]!Table1[[#This Row],[Ordered]])/[1]!Table1[[#This Row],[Ordered]]))</f>
        <v/>
      </c>
      <c r="H68" s="4">
        <f t="shared" si="0"/>
        <v>0</v>
      </c>
      <c r="I68" s="1">
        <f t="shared" si="1"/>
        <v>0</v>
      </c>
      <c r="J68" s="1">
        <f t="shared" si="2"/>
        <v>4651</v>
      </c>
      <c r="K68" s="1">
        <f t="shared" si="3"/>
        <v>0</v>
      </c>
      <c r="L68" s="1" t="str">
        <f t="shared" si="4"/>
        <v>CRITICAL</v>
      </c>
    </row>
    <row r="69" spans="1:12" x14ac:dyDescent="0.2">
      <c r="G69" s="4" t="str">
        <f>IF([1]!Table1[[#This Row],[Ordered]]=0,"",MAX(0,1-ABS([1]!Table1[[#This Row],[Forecast/MTS]]-[1]!Table1[[#This Row],[Ordered]])/[1]!Table1[[#This Row],[Ordered]]))</f>
        <v/>
      </c>
      <c r="H69" s="4">
        <f t="shared" si="0"/>
        <v>0</v>
      </c>
      <c r="I69" s="1">
        <f t="shared" si="1"/>
        <v>0</v>
      </c>
      <c r="J69" s="1">
        <f t="shared" si="2"/>
        <v>4651</v>
      </c>
      <c r="K69" s="1">
        <f t="shared" si="3"/>
        <v>0</v>
      </c>
      <c r="L69" s="1" t="str">
        <f t="shared" si="4"/>
        <v>CRITICAL</v>
      </c>
    </row>
    <row r="70" spans="1:12" x14ac:dyDescent="0.2">
      <c r="G70" s="4" t="str">
        <f>IF([1]!Table1[[#This Row],[Ordered]]=0,"",MAX(0,1-ABS([1]!Table1[[#This Row],[Forecast/MTS]]-[1]!Table1[[#This Row],[Ordered]])/[1]!Table1[[#This Row],[Ordered]]))</f>
        <v/>
      </c>
      <c r="H70" s="4">
        <f t="shared" si="0"/>
        <v>0</v>
      </c>
      <c r="I70" s="1">
        <f t="shared" si="1"/>
        <v>0</v>
      </c>
      <c r="J70" s="1">
        <f t="shared" si="2"/>
        <v>4651</v>
      </c>
      <c r="K70" s="1">
        <f t="shared" si="3"/>
        <v>0</v>
      </c>
      <c r="L70" s="1" t="str">
        <f t="shared" si="4"/>
        <v>CRITICAL</v>
      </c>
    </row>
    <row r="71" spans="1:12" x14ac:dyDescent="0.2">
      <c r="G71" s="4" t="e">
        <f>IF([1]!Table1[[#This Row],[Ordered]]=0,"",MAX(0,1-ABS([1]!Table1[[#This Row],[Forecast/MTS]]-[1]!Table1[[#This Row],[Ordered]])/[1]!Table1[[#This Row],[Ordered]]))</f>
        <v>#VALUE!</v>
      </c>
      <c r="H71" s="4">
        <f t="shared" si="0"/>
        <v>0</v>
      </c>
      <c r="I71" s="1">
        <f t="shared" si="1"/>
        <v>0</v>
      </c>
      <c r="J71" s="1">
        <f t="shared" si="2"/>
        <v>4651</v>
      </c>
      <c r="K71" s="1">
        <f t="shared" si="3"/>
        <v>0</v>
      </c>
      <c r="L71" s="1" t="str">
        <f t="shared" si="4"/>
        <v>CRITICAL</v>
      </c>
    </row>
    <row r="72" spans="1:12" x14ac:dyDescent="0.2">
      <c r="G72" s="4" t="e">
        <f>IF([1]!Table1[[#This Row],[Ordered]]=0,"",MAX(0,1-ABS([1]!Table1[[#This Row],[Forecast/MTS]]-[1]!Table1[[#This Row],[Ordered]])/[1]!Table1[[#This Row],[Ordered]]))</f>
        <v>#VALUE!</v>
      </c>
      <c r="H72" s="4">
        <f t="shared" si="0"/>
        <v>0</v>
      </c>
      <c r="I72" s="1">
        <f t="shared" si="1"/>
        <v>0</v>
      </c>
      <c r="J72" s="1">
        <f t="shared" si="2"/>
        <v>4651</v>
      </c>
      <c r="K72" s="1">
        <f t="shared" si="3"/>
        <v>0</v>
      </c>
      <c r="L72" s="1" t="str">
        <f t="shared" si="4"/>
        <v>CRITICAL</v>
      </c>
    </row>
    <row r="73" spans="1:12" x14ac:dyDescent="0.2">
      <c r="G73" s="4" t="e">
        <f>IF([1]!Table1[[#This Row],[Ordered]]=0,"",MAX(0,1-ABS([1]!Table1[[#This Row],[Forecast/MTS]]-[1]!Table1[[#This Row],[Ordered]])/[1]!Table1[[#This Row],[Ordered]]))</f>
        <v>#VALUE!</v>
      </c>
      <c r="H73" s="4">
        <f t="shared" si="0"/>
        <v>0</v>
      </c>
      <c r="I73" s="1">
        <f t="shared" si="1"/>
        <v>0</v>
      </c>
      <c r="J73" s="1">
        <f t="shared" si="2"/>
        <v>4651</v>
      </c>
      <c r="K73" s="1">
        <f t="shared" si="3"/>
        <v>0</v>
      </c>
      <c r="L73" s="1" t="str">
        <f t="shared" si="4"/>
        <v>CRITICAL</v>
      </c>
    </row>
    <row r="74" spans="1:12" x14ac:dyDescent="0.2">
      <c r="G74" s="4" t="e">
        <f>IF([1]!Table1[[#This Row],[Ordered]]=0,"",MAX(0,1-ABS([1]!Table1[[#This Row],[Forecast/MTS]]-[1]!Table1[[#This Row],[Ordered]])/[1]!Table1[[#This Row],[Ordered]]))</f>
        <v>#VALUE!</v>
      </c>
      <c r="H74" s="4">
        <f t="shared" si="0"/>
        <v>0</v>
      </c>
      <c r="I74" s="1">
        <f t="shared" si="1"/>
        <v>0</v>
      </c>
      <c r="J74" s="1">
        <f t="shared" si="2"/>
        <v>4651</v>
      </c>
      <c r="K74" s="1">
        <f t="shared" si="3"/>
        <v>0</v>
      </c>
      <c r="L74" s="1" t="str">
        <f t="shared" si="4"/>
        <v>CRITICAL</v>
      </c>
    </row>
    <row r="75" spans="1:12" x14ac:dyDescent="0.2">
      <c r="G75" s="4" t="e">
        <f>IF([1]!Table1[[#This Row],[Ordered]]=0,"",MAX(0,1-ABS([1]!Table1[[#This Row],[Forecast/MTS]]-[1]!Table1[[#This Row],[Ordered]])/[1]!Table1[[#This Row],[Ordered]]))</f>
        <v>#VALUE!</v>
      </c>
      <c r="H75" s="4">
        <f t="shared" si="0"/>
        <v>0</v>
      </c>
      <c r="I75" s="1">
        <f t="shared" si="1"/>
        <v>0</v>
      </c>
      <c r="J75" s="1">
        <f t="shared" si="2"/>
        <v>4651</v>
      </c>
      <c r="K75" s="1">
        <f t="shared" si="3"/>
        <v>0</v>
      </c>
      <c r="L75" s="1" t="str">
        <f t="shared" si="4"/>
        <v>CRITICAL</v>
      </c>
    </row>
    <row r="76" spans="1:12" x14ac:dyDescent="0.2">
      <c r="G76" s="4" t="e">
        <f>IF([1]!Table1[[#This Row],[Ordered]]=0,"",MAX(0,1-ABS([1]!Table1[[#This Row],[Forecast/MTS]]-[1]!Table1[[#This Row],[Ordered]])/[1]!Table1[[#This Row],[Ordered]]))</f>
        <v>#VALUE!</v>
      </c>
      <c r="H76" s="4">
        <f t="shared" si="0"/>
        <v>0</v>
      </c>
      <c r="I76" s="1">
        <f t="shared" si="1"/>
        <v>0</v>
      </c>
      <c r="J76" s="1">
        <f t="shared" si="2"/>
        <v>4651</v>
      </c>
      <c r="K76" s="1">
        <f t="shared" si="3"/>
        <v>0</v>
      </c>
      <c r="L76" s="1" t="str">
        <f t="shared" si="4"/>
        <v>CRITICAL</v>
      </c>
    </row>
    <row r="77" spans="1:12" x14ac:dyDescent="0.2">
      <c r="G77" s="4" t="e">
        <f>IF([1]!Table1[[#This Row],[Ordered]]=0,"",MAX(0,1-ABS([1]!Table1[[#This Row],[Forecast/MTS]]-[1]!Table1[[#This Row],[Ordered]])/[1]!Table1[[#This Row],[Ordered]]))</f>
        <v>#VALUE!</v>
      </c>
      <c r="H77" s="4">
        <f t="shared" si="0"/>
        <v>0</v>
      </c>
      <c r="I77" s="1">
        <f t="shared" si="1"/>
        <v>0</v>
      </c>
      <c r="J77" s="1">
        <f t="shared" si="2"/>
        <v>4651</v>
      </c>
      <c r="K77" s="1">
        <f t="shared" si="3"/>
        <v>0</v>
      </c>
      <c r="L77" s="1" t="str">
        <f t="shared" si="4"/>
        <v>CRITICAL</v>
      </c>
    </row>
    <row r="78" spans="1:12" x14ac:dyDescent="0.2">
      <c r="G78" s="4" t="e">
        <f>IF([1]!Table1[[#This Row],[Ordered]]=0,"",MAX(0,1-ABS([1]!Table1[[#This Row],[Forecast/MTS]]-[1]!Table1[[#This Row],[Ordered]])/[1]!Table1[[#This Row],[Ordered]]))</f>
        <v>#VALUE!</v>
      </c>
      <c r="H78" s="4">
        <f t="shared" si="0"/>
        <v>0</v>
      </c>
      <c r="I78" s="1">
        <f t="shared" si="1"/>
        <v>0</v>
      </c>
      <c r="J78" s="1">
        <f t="shared" si="2"/>
        <v>4651</v>
      </c>
      <c r="K78" s="1">
        <f t="shared" si="3"/>
        <v>0</v>
      </c>
      <c r="L78" s="1" t="str">
        <f t="shared" si="4"/>
        <v>CRITICAL</v>
      </c>
    </row>
    <row r="79" spans="1:12" x14ac:dyDescent="0.2">
      <c r="G79" s="4" t="e">
        <f>IF([1]!Table1[[#This Row],[Ordered]]=0,"",MAX(0,1-ABS([1]!Table1[[#This Row],[Forecast/MTS]]-[1]!Table1[[#This Row],[Ordered]])/[1]!Table1[[#This Row],[Ordered]]))</f>
        <v>#VALUE!</v>
      </c>
      <c r="H79" s="4">
        <f t="shared" si="0"/>
        <v>0</v>
      </c>
      <c r="I79" s="1">
        <f t="shared" si="1"/>
        <v>0</v>
      </c>
      <c r="J79" s="1">
        <f t="shared" si="2"/>
        <v>4651</v>
      </c>
      <c r="K79" s="1">
        <f t="shared" si="3"/>
        <v>0</v>
      </c>
      <c r="L79" s="1" t="str">
        <f t="shared" si="4"/>
        <v>CRITICAL</v>
      </c>
    </row>
    <row r="80" spans="1:12" x14ac:dyDescent="0.2">
      <c r="G80" s="4" t="e">
        <f>IF([1]!Table1[[#This Row],[Ordered]]=0,"",MAX(0,1-ABS([1]!Table1[[#This Row],[Forecast/MTS]]-[1]!Table1[[#This Row],[Ordered]])/[1]!Table1[[#This Row],[Ordered]]))</f>
        <v>#VALUE!</v>
      </c>
      <c r="H80" s="4">
        <f t="shared" si="0"/>
        <v>0</v>
      </c>
      <c r="I80" s="1">
        <f t="shared" si="1"/>
        <v>0</v>
      </c>
      <c r="J80" s="1">
        <f t="shared" si="2"/>
        <v>4651</v>
      </c>
      <c r="K80" s="1">
        <f t="shared" si="3"/>
        <v>0</v>
      </c>
      <c r="L80" s="1" t="str">
        <f t="shared" si="4"/>
        <v>CRITICAL</v>
      </c>
    </row>
    <row r="81" spans="7:12" x14ac:dyDescent="0.2">
      <c r="G81" s="4" t="e">
        <f>IF([1]!Table1[[#This Row],[Ordered]]=0,"",MAX(0,1-ABS([1]!Table1[[#This Row],[Forecast/MTS]]-[1]!Table1[[#This Row],[Ordered]])/[1]!Table1[[#This Row],[Ordered]]))</f>
        <v>#VALUE!</v>
      </c>
      <c r="H81" s="4">
        <f t="shared" si="0"/>
        <v>0</v>
      </c>
      <c r="I81" s="1">
        <f t="shared" si="1"/>
        <v>0</v>
      </c>
      <c r="J81" s="1">
        <f t="shared" si="2"/>
        <v>4651</v>
      </c>
      <c r="K81" s="1">
        <f t="shared" si="3"/>
        <v>0</v>
      </c>
      <c r="L81" s="1" t="str">
        <f t="shared" si="4"/>
        <v>CRITICAL</v>
      </c>
    </row>
    <row r="82" spans="7:12" x14ac:dyDescent="0.2">
      <c r="G82" s="4" t="e">
        <f>IF([1]!Table1[[#This Row],[Ordered]]=0,"",MAX(0,1-ABS([1]!Table1[[#This Row],[Forecast/MTS]]-[1]!Table1[[#This Row],[Ordered]])/[1]!Table1[[#This Row],[Ordered]]))</f>
        <v>#VALUE!</v>
      </c>
      <c r="H82" s="4">
        <f t="shared" si="0"/>
        <v>0</v>
      </c>
      <c r="I82" s="1">
        <f t="shared" si="1"/>
        <v>0</v>
      </c>
      <c r="J82" s="1">
        <f t="shared" si="2"/>
        <v>4651</v>
      </c>
      <c r="K82" s="1">
        <f t="shared" si="3"/>
        <v>0</v>
      </c>
      <c r="L82" s="1" t="str">
        <f t="shared" si="4"/>
        <v>CRITICAL</v>
      </c>
    </row>
    <row r="83" spans="7:12" x14ac:dyDescent="0.2">
      <c r="G83" s="4" t="e">
        <f>IF([1]!Table1[[#This Row],[Ordered]]=0,"",MAX(0,1-ABS([1]!Table1[[#This Row],[Forecast/MTS]]-[1]!Table1[[#This Row],[Ordered]])/[1]!Table1[[#This Row],[Ordered]]))</f>
        <v>#VALUE!</v>
      </c>
      <c r="H83" s="4">
        <f t="shared" si="0"/>
        <v>0</v>
      </c>
      <c r="I83" s="1">
        <f t="shared" si="1"/>
        <v>0</v>
      </c>
      <c r="J83" s="1">
        <f t="shared" si="2"/>
        <v>4651</v>
      </c>
      <c r="K83" s="1">
        <f t="shared" si="3"/>
        <v>0</v>
      </c>
      <c r="L83" s="1" t="str">
        <f t="shared" si="4"/>
        <v>CRITICAL</v>
      </c>
    </row>
    <row r="84" spans="7:12" x14ac:dyDescent="0.2">
      <c r="G84" s="4" t="e">
        <f>IF([1]!Table1[[#This Row],[Ordered]]=0,"",MAX(0,1-ABS([1]!Table1[[#This Row],[Forecast/MTS]]-[1]!Table1[[#This Row],[Ordered]])/[1]!Table1[[#This Row],[Ordered]]))</f>
        <v>#VALUE!</v>
      </c>
      <c r="H84" s="4">
        <f t="shared" si="0"/>
        <v>0</v>
      </c>
      <c r="I84" s="1">
        <f t="shared" si="1"/>
        <v>0</v>
      </c>
      <c r="J84" s="1">
        <f t="shared" si="2"/>
        <v>4651</v>
      </c>
      <c r="K84" s="1">
        <f t="shared" si="3"/>
        <v>0</v>
      </c>
      <c r="L84" s="1" t="str">
        <f t="shared" si="4"/>
        <v>CRITICAL</v>
      </c>
    </row>
    <row r="85" spans="7:12" x14ac:dyDescent="0.2">
      <c r="G85" s="4" t="e">
        <f>IF([1]!Table1[[#This Row],[Ordered]]=0,"",MAX(0,1-ABS([1]!Table1[[#This Row],[Forecast/MTS]]-[1]!Table1[[#This Row],[Ordered]])/[1]!Table1[[#This Row],[Ordered]]))</f>
        <v>#VALUE!</v>
      </c>
      <c r="H85" s="4">
        <f t="shared" si="0"/>
        <v>0</v>
      </c>
      <c r="I85" s="1">
        <f t="shared" si="1"/>
        <v>0</v>
      </c>
      <c r="J85" s="1">
        <f t="shared" si="2"/>
        <v>4651</v>
      </c>
      <c r="K85" s="1">
        <f t="shared" si="3"/>
        <v>0</v>
      </c>
      <c r="L85" s="1" t="str">
        <f t="shared" si="4"/>
        <v>CRITICAL</v>
      </c>
    </row>
    <row r="86" spans="7:12" x14ac:dyDescent="0.2">
      <c r="G86" s="4" t="e">
        <f>IF([1]!Table1[[#This Row],[Ordered]]=0,"",MAX(0,1-ABS([1]!Table1[[#This Row],[Forecast/MTS]]-[1]!Table1[[#This Row],[Ordered]])/[1]!Table1[[#This Row],[Ordered]]))</f>
        <v>#VALUE!</v>
      </c>
      <c r="H86" s="4">
        <f t="shared" si="0"/>
        <v>0</v>
      </c>
      <c r="I86" s="1">
        <f t="shared" si="1"/>
        <v>0</v>
      </c>
      <c r="J86" s="1">
        <f t="shared" si="2"/>
        <v>4651</v>
      </c>
      <c r="K86" s="1">
        <f t="shared" si="3"/>
        <v>0</v>
      </c>
      <c r="L86" s="1" t="str">
        <f t="shared" si="4"/>
        <v>CRITICAL</v>
      </c>
    </row>
    <row r="87" spans="7:12" x14ac:dyDescent="0.2">
      <c r="G87" s="4" t="e">
        <f>IF([1]!Table1[[#This Row],[Ordered]]=0,"",MAX(0,1-ABS([1]!Table1[[#This Row],[Forecast/MTS]]-[1]!Table1[[#This Row],[Ordered]])/[1]!Table1[[#This Row],[Ordered]]))</f>
        <v>#VALUE!</v>
      </c>
      <c r="H87" s="4">
        <f t="shared" si="0"/>
        <v>0</v>
      </c>
      <c r="I87" s="1">
        <f t="shared" si="1"/>
        <v>0</v>
      </c>
      <c r="J87" s="1">
        <f t="shared" si="2"/>
        <v>4651</v>
      </c>
      <c r="K87" s="1">
        <f t="shared" si="3"/>
        <v>0</v>
      </c>
      <c r="L87" s="1" t="str">
        <f t="shared" si="4"/>
        <v>CRITICAL</v>
      </c>
    </row>
    <row r="88" spans="7:12" x14ac:dyDescent="0.2">
      <c r="G88" s="4" t="e">
        <f>IF([1]!Table1[[#This Row],[Ordered]]=0,"",MAX(0,1-ABS([1]!Table1[[#This Row],[Forecast/MTS]]-[1]!Table1[[#This Row],[Ordered]])/[1]!Table1[[#This Row],[Ordered]]))</f>
        <v>#VALUE!</v>
      </c>
      <c r="H88" s="4">
        <f t="shared" si="0"/>
        <v>0</v>
      </c>
      <c r="I88" s="1">
        <f t="shared" si="1"/>
        <v>0</v>
      </c>
      <c r="J88" s="1">
        <f t="shared" si="2"/>
        <v>4651</v>
      </c>
      <c r="K88" s="1">
        <f t="shared" si="3"/>
        <v>0</v>
      </c>
      <c r="L88" s="1" t="str">
        <f t="shared" si="4"/>
        <v>CRITICAL</v>
      </c>
    </row>
    <row r="89" spans="7:12" x14ac:dyDescent="0.2">
      <c r="G89" s="4" t="e">
        <f>IF([1]!Table1[[#This Row],[Ordered]]=0,"",MAX(0,1-ABS([1]!Table1[[#This Row],[Forecast/MTS]]-[1]!Table1[[#This Row],[Ordered]])/[1]!Table1[[#This Row],[Ordered]]))</f>
        <v>#VALUE!</v>
      </c>
      <c r="H89" s="4">
        <f t="shared" si="0"/>
        <v>0</v>
      </c>
      <c r="I89" s="1">
        <f t="shared" si="1"/>
        <v>0</v>
      </c>
      <c r="J89" s="1">
        <f t="shared" si="2"/>
        <v>4651</v>
      </c>
      <c r="K89" s="1">
        <f t="shared" si="3"/>
        <v>0</v>
      </c>
      <c r="L89" s="1" t="str">
        <f t="shared" si="4"/>
        <v>CRITICAL</v>
      </c>
    </row>
    <row r="90" spans="7:12" x14ac:dyDescent="0.2">
      <c r="G90" s="4" t="e">
        <f>IF([1]!Table1[[#This Row],[Ordered]]=0,"",MAX(0,1-ABS([1]!Table1[[#This Row],[Forecast/MTS]]-[1]!Table1[[#This Row],[Ordered]])/[1]!Table1[[#This Row],[Ordered]]))</f>
        <v>#VALUE!</v>
      </c>
      <c r="H90" s="4">
        <f t="shared" si="0"/>
        <v>0</v>
      </c>
      <c r="I90" s="1">
        <f t="shared" si="1"/>
        <v>0</v>
      </c>
      <c r="J90" s="1">
        <f t="shared" si="2"/>
        <v>4651</v>
      </c>
      <c r="K90" s="1">
        <f t="shared" si="3"/>
        <v>0</v>
      </c>
      <c r="L90" s="1" t="str">
        <f t="shared" si="4"/>
        <v>CRITICAL</v>
      </c>
    </row>
    <row r="91" spans="7:12" x14ac:dyDescent="0.2">
      <c r="G91" s="4" t="e">
        <f>IF([1]!Table1[[#This Row],[Ordered]]=0,"",MAX(0,1-ABS([1]!Table1[[#This Row],[Forecast/MTS]]-[1]!Table1[[#This Row],[Ordered]])/[1]!Table1[[#This Row],[Ordered]]))</f>
        <v>#VALUE!</v>
      </c>
      <c r="H91" s="4">
        <f t="shared" si="0"/>
        <v>0</v>
      </c>
      <c r="I91" s="1">
        <f t="shared" si="1"/>
        <v>0</v>
      </c>
      <c r="J91" s="1">
        <f t="shared" si="2"/>
        <v>4651</v>
      </c>
      <c r="K91" s="1">
        <f t="shared" si="3"/>
        <v>0</v>
      </c>
      <c r="L91" s="1" t="str">
        <f t="shared" si="4"/>
        <v>CRITICAL</v>
      </c>
    </row>
    <row r="92" spans="7:12" x14ac:dyDescent="0.2">
      <c r="G92" s="4" t="e">
        <f>IF([1]!Table1[[#This Row],[Ordered]]=0,"",MAX(0,1-ABS([1]!Table1[[#This Row],[Forecast/MTS]]-[1]!Table1[[#This Row],[Ordered]])/[1]!Table1[[#This Row],[Ordered]]))</f>
        <v>#VALUE!</v>
      </c>
      <c r="H92" s="4">
        <f t="shared" si="0"/>
        <v>0</v>
      </c>
      <c r="I92" s="1">
        <f t="shared" si="1"/>
        <v>0</v>
      </c>
      <c r="J92" s="1">
        <f t="shared" si="2"/>
        <v>4651</v>
      </c>
      <c r="K92" s="1">
        <f t="shared" si="3"/>
        <v>0</v>
      </c>
      <c r="L92" s="1" t="str">
        <f t="shared" si="4"/>
        <v>CRITICAL</v>
      </c>
    </row>
    <row r="93" spans="7:12" x14ac:dyDescent="0.2">
      <c r="G93" s="4" t="e">
        <f>IF([1]!Table1[[#This Row],[Ordered]]=0,"",MAX(0,1-ABS([1]!Table1[[#This Row],[Forecast/MTS]]-[1]!Table1[[#This Row],[Ordered]])/[1]!Table1[[#This Row],[Ordered]]))</f>
        <v>#VALUE!</v>
      </c>
      <c r="H93" s="4">
        <f t="shared" si="0"/>
        <v>0</v>
      </c>
      <c r="I93" s="1">
        <f t="shared" si="1"/>
        <v>0</v>
      </c>
      <c r="J93" s="1">
        <f t="shared" si="2"/>
        <v>4651</v>
      </c>
      <c r="K93" s="1">
        <f t="shared" si="3"/>
        <v>0</v>
      </c>
      <c r="L93" s="1" t="str">
        <f t="shared" si="4"/>
        <v>CRITICAL</v>
      </c>
    </row>
    <row r="94" spans="7:12" x14ac:dyDescent="0.2">
      <c r="G94" s="4" t="e">
        <f>IF([1]!Table1[[#This Row],[Ordered]]=0,"",MAX(0,1-ABS([1]!Table1[[#This Row],[Forecast/MTS]]-[1]!Table1[[#This Row],[Ordered]])/[1]!Table1[[#This Row],[Ordered]]))</f>
        <v>#VALUE!</v>
      </c>
      <c r="H94" s="4">
        <f t="shared" si="0"/>
        <v>0</v>
      </c>
      <c r="I94" s="1">
        <f t="shared" si="1"/>
        <v>0</v>
      </c>
      <c r="J94" s="1">
        <f t="shared" si="2"/>
        <v>4651</v>
      </c>
      <c r="K94" s="1">
        <f t="shared" si="3"/>
        <v>0</v>
      </c>
      <c r="L94" s="1" t="str">
        <f t="shared" si="4"/>
        <v>CRITICAL</v>
      </c>
    </row>
    <row r="95" spans="7:12" x14ac:dyDescent="0.2">
      <c r="G95" s="4" t="e">
        <f>IF([1]!Table1[[#This Row],[Ordered]]=0,"",MAX(0,1-ABS([1]!Table1[[#This Row],[Forecast/MTS]]-[1]!Table1[[#This Row],[Ordered]])/[1]!Table1[[#This Row],[Ordered]]))</f>
        <v>#VALUE!</v>
      </c>
      <c r="H95" s="4">
        <f t="shared" si="0"/>
        <v>0</v>
      </c>
      <c r="I95" s="1">
        <f t="shared" si="1"/>
        <v>0</v>
      </c>
      <c r="J95" s="1">
        <f t="shared" si="2"/>
        <v>4651</v>
      </c>
      <c r="K95" s="1">
        <f t="shared" si="3"/>
        <v>0</v>
      </c>
      <c r="L95" s="1" t="str">
        <f t="shared" si="4"/>
        <v>CRITICAL</v>
      </c>
    </row>
    <row r="96" spans="7:12" x14ac:dyDescent="0.2">
      <c r="G96" s="4" t="e">
        <f>IF([1]!Table1[[#This Row],[Ordered]]=0,"",MAX(0,1-ABS([1]!Table1[[#This Row],[Forecast/MTS]]-[1]!Table1[[#This Row],[Ordered]])/[1]!Table1[[#This Row],[Ordered]]))</f>
        <v>#VALUE!</v>
      </c>
      <c r="H96" s="4">
        <f t="shared" si="0"/>
        <v>0</v>
      </c>
      <c r="I96" s="1">
        <f t="shared" si="1"/>
        <v>0</v>
      </c>
      <c r="J96" s="1">
        <f t="shared" si="2"/>
        <v>4651</v>
      </c>
      <c r="K96" s="1">
        <f t="shared" si="3"/>
        <v>0</v>
      </c>
      <c r="L96" s="1" t="str">
        <f t="shared" si="4"/>
        <v>CRITICAL</v>
      </c>
    </row>
    <row r="97" spans="7:12" x14ac:dyDescent="0.2">
      <c r="G97" s="4" t="e">
        <f>IF([1]!Table1[[#This Row],[Ordered]]=0,"",MAX(0,1-ABS([1]!Table1[[#This Row],[Forecast/MTS]]-[1]!Table1[[#This Row],[Ordered]])/[1]!Table1[[#This Row],[Ordered]]))</f>
        <v>#VALUE!</v>
      </c>
      <c r="H97" s="4">
        <f t="shared" si="0"/>
        <v>0</v>
      </c>
      <c r="I97" s="1">
        <f t="shared" si="1"/>
        <v>0</v>
      </c>
      <c r="J97" s="1">
        <f t="shared" si="2"/>
        <v>4651</v>
      </c>
      <c r="K97" s="1">
        <f t="shared" si="3"/>
        <v>0</v>
      </c>
      <c r="L97" s="1" t="str">
        <f t="shared" si="4"/>
        <v>CRITICAL</v>
      </c>
    </row>
    <row r="98" spans="7:12" x14ac:dyDescent="0.2">
      <c r="G98" s="4" t="e">
        <f>IF([1]!Table1[[#This Row],[Ordered]]=0,"",MAX(0,1-ABS([1]!Table1[[#This Row],[Forecast/MTS]]-[1]!Table1[[#This Row],[Ordered]])/[1]!Table1[[#This Row],[Ordered]]))</f>
        <v>#VALUE!</v>
      </c>
      <c r="H98" s="4">
        <f t="shared" si="0"/>
        <v>0</v>
      </c>
      <c r="I98" s="1">
        <f t="shared" si="1"/>
        <v>0</v>
      </c>
      <c r="J98" s="1">
        <f t="shared" si="2"/>
        <v>4651</v>
      </c>
      <c r="K98" s="1">
        <f t="shared" si="3"/>
        <v>0</v>
      </c>
      <c r="L98" s="1" t="str">
        <f t="shared" si="4"/>
        <v>CRITICAL</v>
      </c>
    </row>
    <row r="99" spans="7:12" x14ac:dyDescent="0.2">
      <c r="G99" s="4" t="e">
        <f>IF([1]!Table1[[#This Row],[Ordered]]=0,"",MAX(0,1-ABS([1]!Table1[[#This Row],[Forecast/MTS]]-[1]!Table1[[#This Row],[Ordered]])/[1]!Table1[[#This Row],[Ordered]]))</f>
        <v>#VALUE!</v>
      </c>
      <c r="H99" s="4">
        <f t="shared" si="0"/>
        <v>0</v>
      </c>
      <c r="I99" s="1">
        <f t="shared" si="1"/>
        <v>0</v>
      </c>
      <c r="J99" s="1">
        <f t="shared" si="2"/>
        <v>4651</v>
      </c>
      <c r="K99" s="1">
        <f t="shared" si="3"/>
        <v>0</v>
      </c>
      <c r="L99" s="1" t="str">
        <f t="shared" si="4"/>
        <v>CRITICAL</v>
      </c>
    </row>
    <row r="100" spans="7:12" x14ac:dyDescent="0.2">
      <c r="G100" s="4" t="e">
        <f>IF([1]!Table1[[#This Row],[Ordered]]=0,"",MAX(0,1-ABS([1]!Table1[[#This Row],[Forecast/MTS]]-[1]!Table1[[#This Row],[Ordered]])/[1]!Table1[[#This Row],[Ordered]]))</f>
        <v>#VALUE!</v>
      </c>
      <c r="H100" s="4">
        <f t="shared" si="0"/>
        <v>0</v>
      </c>
      <c r="I100" s="1">
        <f t="shared" si="1"/>
        <v>0</v>
      </c>
      <c r="J100" s="1">
        <f t="shared" si="2"/>
        <v>4651</v>
      </c>
      <c r="K100" s="1">
        <f t="shared" si="3"/>
        <v>0</v>
      </c>
      <c r="L100" s="1" t="str">
        <f t="shared" si="4"/>
        <v>CRITICAL</v>
      </c>
    </row>
  </sheetData>
  <conditionalFormatting sqref="G67:G10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7:H10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 L67:L1048576">
    <cfRule type="containsText" dxfId="1" priority="4" operator="containsText" text="critical">
      <formula>NOT(ISERROR(SEARCH("critical",L1)))</formula>
    </cfRule>
  </conditionalFormatting>
  <conditionalFormatting sqref="G2:G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6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66">
    <cfRule type="containsText" dxfId="0" priority="1" operator="containsText" text="critical">
      <formula>NOT(ISERROR(SEARCH("critical",L2)))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production2 PRG</dc:creator>
  <cp:lastModifiedBy>production2 PRG</cp:lastModifiedBy>
  <dcterms:created xsi:type="dcterms:W3CDTF">2026-02-24T08:17:15Z</dcterms:created>
  <dcterms:modified xsi:type="dcterms:W3CDTF">2026-02-25T01:55:59Z</dcterms:modified>
</cp:coreProperties>
</file>